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Учебный план" sheetId="1" state="visible" r:id="rId1"/>
  </sheets>
  <calcPr/>
</workbook>
</file>

<file path=xl/sharedStrings.xml><?xml version="1.0" encoding="utf-8"?>
<sst xmlns="http://schemas.openxmlformats.org/spreadsheetml/2006/main" count="593" uniqueCount="593">
  <si>
    <t xml:space="preserve">Приложение                                                                                      </t>
  </si>
  <si>
    <t xml:space="preserve">УТВЕРЖДЕН                                                                                    </t>
  </si>
  <si>
    <t xml:space="preserve">приказом начальника Управления образовательных программ </t>
  </si>
  <si>
    <t xml:space="preserve">от ___________ № __________                                                       </t>
  </si>
  <si>
    <t xml:space="preserve">Санкт-Петербургский государственный университет</t>
  </si>
  <si>
    <t xml:space="preserve">КОМПЕТЕНТНОСТНО-ОРИЕНТИРОВАННЫЙ УЧЕБНЫЙ ПЛАН</t>
  </si>
  <si>
    <t xml:space="preserve">основной образовательной программы высшего образования</t>
  </si>
  <si>
    <t xml:space="preserve">Программирование и информационные технологии</t>
  </si>
  <si>
    <t xml:space="preserve">Programming and Information Technology</t>
  </si>
  <si>
    <t xml:space="preserve">по уровню</t>
  </si>
  <si>
    <t xml:space="preserve">  бакалавриат</t>
  </si>
  <si>
    <t xml:space="preserve">по направлению (специальности)</t>
  </si>
  <si>
    <t xml:space="preserve">  02.03.02 Фундаментальная информатика и информационные технологии</t>
  </si>
  <si>
    <t xml:space="preserve">Форма обучения:</t>
  </si>
  <si>
    <t xml:space="preserve">                                                                очная                                                                         </t>
  </si>
  <si>
    <t xml:space="preserve">Язык(и) обучения:</t>
  </si>
  <si>
    <t xml:space="preserve">                                                     русский, английский                                                              </t>
  </si>
  <si>
    <t xml:space="preserve">Срок обучения по основной образовательной программе</t>
  </si>
  <si>
    <t xml:space="preserve">                                                               4 года                                                                         </t>
  </si>
  <si>
    <t xml:space="preserve">Образовательная программа реализуется в соответствии с образовательным стандартом</t>
  </si>
  <si>
    <t xml:space="preserve">по уровню высшего образования,</t>
  </si>
  <si>
    <t xml:space="preserve">установленным Санкт-Петербургским государственным университетом самостоятельно.</t>
  </si>
  <si>
    <t xml:space="preserve">Регистрационный номер </t>
  </si>
  <si>
    <t xml:space="preserve">учебного плана</t>
  </si>
  <si>
    <t>26/5003/1</t>
  </si>
  <si>
    <t>Санкт-Петербург</t>
  </si>
  <si>
    <t xml:space="preserve">Раздел 1. Формируемые компетенции</t>
  </si>
  <si>
    <r>
      <t>1.1.</t>
    </r>
    <r>
      <rPr>
        <sz val="7"/>
        <color theme="1"/>
        <rFont val="Times New Roman"/>
      </rPr>
      <t xml:space="preserve">  </t>
    </r>
    <r>
      <rPr>
        <sz val="11"/>
        <color theme="1"/>
        <rFont val="Times New Roman"/>
      </rPr>
      <t xml:space="preserve">Компетенции, формируемые в результате освоения основной образовательной программы</t>
    </r>
  </si>
  <si>
    <t xml:space="preserve">Код компетенции</t>
  </si>
  <si>
    <t xml:space="preserve">Наименование и (или) описание компетенции</t>
  </si>
  <si>
    <t>УК-1</t>
  </si>
  <si>
    <t xml:space="preserve">Способен осуществлять поиск, критический анализ и синтез информации, применять системный подход для решения поставленных задач</t>
  </si>
  <si>
    <t>УК-2</t>
  </si>
  <si>
    <t xml:space="preserve"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</si>
  <si>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УК-3</t>
  </si>
  <si>
    <t xml:space="preserve">Способен осуществлять социальное взаимодействие и реализовывать свою роль в команде</t>
  </si>
  <si>
    <t>УК-4</t>
  </si>
  <si>
    <t xml:space="preserve"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</si>
  <si>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УК-5</t>
  </si>
  <si>
    <t xml:space="preserve">Способен воспринимать межкультурное разнообразие общества в социально-историческом, этическом и философском контекстах</t>
  </si>
  <si>
    <t>УК-6</t>
  </si>
  <si>
    <t xml:space="preserve"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</si>
  <si>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УК-7</t>
  </si>
  <si>
    <t xml:space="preserve"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</si>
  <si>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УК-8</t>
  </si>
  <si>
    <t xml:space="preserve"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</si>
  <si>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УК-9</t>
  </si>
  <si>
    <t xml:space="preserve">Способен принимать обоснованные экономические решения в различных областях жизнедеятельности</t>
  </si>
  <si>
    <t>УК-10</t>
  </si>
  <si>
    <t xml:space="preserve"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</si>
  <si>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УНК-01</t>
  </si>
  <si>
    <t xml:space="preserve">Способен применять коммуникационные компетенции в профессиональной деятельности</t>
  </si>
  <si>
    <t>УНК-02</t>
  </si>
  <si>
    <t xml:space="preserve">Способен применять методы коллективной работы в профессиональной деятельности</t>
  </si>
  <si>
    <t>УНК-03</t>
  </si>
  <si>
    <t xml:space="preserve">Способен применять методы стратегического планирования в профессиональной деятельности</t>
  </si>
  <si>
    <t>УКБ-1</t>
  </si>
  <si>
    <t xml:space="preserve">Способен участвовать в разработке и реализации проектов, в том числе предпринимательских</t>
  </si>
  <si>
    <t>УКБ-2</t>
  </si>
  <si>
    <t xml:space="preserve">Способен устанавливать и поддерживать взаимоотношения в социальной и профессиональной сфере, исходя из нетерпимости к коррупционному поведению и проявлениям экстремизма, учитывать культурно-исторический опыт России, содействовать сохранению и укреплению традиционных российских духовно-нравственных ценностей</t>
  </si>
  <si>
    <t>УКБ-3</t>
  </si>
  <si>
    <t xml:space="preserve">Способен понимать сущность и значение информации в развитии общества, использовать основные методы получения и работы с информацией с учетом современных технологий цифровой экономики, искусственного интеллекта и науки о данных, а также информационной безопасности</t>
  </si>
  <si>
    <t>УКБ-4</t>
  </si>
  <si>
    <t xml:space="preserve">Способен использовать базовые дефектологические знания в социальной и профессиональной сферах</t>
  </si>
  <si>
    <t>ОПК-1</t>
  </si>
  <si>
    <t xml:space="preserve">Способен применять фундаментальные знания, полученные в области математических и (или) естественных наук, и использовать их в профессиональной деятельности</t>
  </si>
  <si>
    <t>ОПК-2</t>
  </si>
  <si>
    <t xml:space="preserve">Способен применять компьютерные/суперкомпьютерные методы, современное программное обеспечение, в том числе отечественного происхождения, для решения задач профессиональной деятельности</t>
  </si>
  <si>
    <t>ОПК-3</t>
  </si>
  <si>
    <t xml:space="preserve">Способен к разработке алгоритмических и программных решений в области системного и прикладного программирования, математических, информационных и имитационных моделей, созданию информационных ресурсов глобальных сетей, образовательного контента, прикладных баз данных, тестов и средств тестирования систем и средств на соответствие стандартам и исходным требованиям</t>
  </si>
  <si>
    <t>ОПК-4</t>
  </si>
  <si>
    <t xml:space="preserve">Способен участвовать в разработке технической документации программных продуктов и комплексов с использованием стандартов, норм и правил, а также в управлении проектами создания информационных систем на стадиях жизненного цикла</t>
  </si>
  <si>
    <t>ОПК-5</t>
  </si>
  <si>
    <t xml:space="preserve">Способен инсталлировать и сопровождать программное обеспечение информационных систем и баз данных, в том числе отечественного происхождения, с учетом информационной безопасности</t>
  </si>
  <si>
    <t>ОПК-6</t>
  </si>
  <si>
    <t xml:space="preserve">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</si>
  <si>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ПКА-1</t>
  </si>
  <si>
    <t xml:space="preserve">Способен понимать и применять в исследовательской деятельности современный математический аппарат, фундаментальные концепции и системные методологии, международные и профессиональные стандарты в области информационных технологий, способен использовать современные инструментальные и вычислительные средства</t>
  </si>
  <si>
    <t>ПКА-2</t>
  </si>
  <si>
    <t xml:space="preserve">Способен формулировать содержательные задачи в сфере информационных технологий и ставить соответствующие им математические задачи, допускающие практическое использование</t>
  </si>
  <si>
    <t>ПКП-1-ППК-Р1</t>
  </si>
  <si>
    <t xml:space="preserve">Способен разрабатывать и отлаживать программный код</t>
  </si>
  <si>
    <t>ПКП-2-ППК-Р2</t>
  </si>
  <si>
    <t xml:space="preserve">Способен проверять работоспособность и проводить рефакторинг кода программного обеспечения</t>
  </si>
  <si>
    <t>ПКП-3-ППК-Р3</t>
  </si>
  <si>
    <t xml:space="preserve">Способен выполнять интеграцию программных модулей и компонентов и проверять работоспособность выпусков программного продукта</t>
  </si>
  <si>
    <t>ПКП-4-ППК-Р4</t>
  </si>
  <si>
    <t xml:space="preserve">Способен использовать базы данных при создании программных модулей и компонентов</t>
  </si>
  <si>
    <t>ПКП-5-ППК-Р5</t>
  </si>
  <si>
    <t xml:space="preserve">Способен разрабатывать требования и проектировать программное обеспечение</t>
  </si>
  <si>
    <t>ПКП-6-ППК-Р6</t>
  </si>
  <si>
    <t xml:space="preserve">Способен участвовать в промышленной разработке программного обеспечения</t>
  </si>
  <si>
    <t>ПКП-7-ППК-Р7</t>
  </si>
  <si>
    <t xml:space="preserve">Способен применять искусственный интеллект (ИИ) для генерации и отладки программного кода</t>
  </si>
  <si>
    <t>ПКП-8-ППК-ДА1</t>
  </si>
  <si>
    <t xml:space="preserve">Способен работать с заинтересованными сторонами</t>
  </si>
  <si>
    <t>ПКП-9-ППК-ДА2</t>
  </si>
  <si>
    <t xml:space="preserve">Способен подготавливать и обрабатывать данные для аналитических исследований</t>
  </si>
  <si>
    <t>ПКП-10-ППК-ДА3</t>
  </si>
  <si>
    <t xml:space="preserve">Способен проводить аналитические исследования с применением технологий больших данных</t>
  </si>
  <si>
    <t>ПКП-11-ППК-ДА4</t>
  </si>
  <si>
    <t xml:space="preserve">Способен выявлять бизнес-проблемы или бизнес-возможности</t>
  </si>
  <si>
    <t>ПКП-12-ППК-ДА5</t>
  </si>
  <si>
    <t xml:space="preserve">Способен применять методы статистического анализа и теорию эксперимента для планирования, проведения и интерпретации результатов экспериментов</t>
  </si>
  <si>
    <t>ПКП-13-ППК-ДА6</t>
  </si>
  <si>
    <t xml:space="preserve">Способен анализировать большие данные с использованием существующей в организации методологической и технологической инфраструктуры</t>
  </si>
  <si>
    <t>ПКП-14-ППК-ДА7</t>
  </si>
  <si>
    <t xml:space="preserve">Способен управлять разработкой продуктов, услуг и решений на основе больших данных</t>
  </si>
  <si>
    <t>ПКП-15-ППК-ОС2</t>
  </si>
  <si>
    <t xml:space="preserve">Способен администрировать средства защиты информации в компьютерных системах и сетях</t>
  </si>
  <si>
    <t>ПКП-16-ППК-ОС3</t>
  </si>
  <si>
    <t xml:space="preserve">Способен проектировать, развертывать и управлять контейнерными средами</t>
  </si>
  <si>
    <t>ПКП-17-ППК-ОС4</t>
  </si>
  <si>
    <t xml:space="preserve">Способен проектировать, развертывать и оптимизировать облачную инфраструктуру</t>
  </si>
  <si>
    <t>ПКП-18-ППК-ОС6</t>
  </si>
  <si>
    <t xml:space="preserve">Способен проектировать и поддерживать надежность ИТ-сервисов</t>
  </si>
  <si>
    <t>ПКП-19-МО-1</t>
  </si>
  <si>
    <t xml:space="preserve">Способен проектировать, разрабатывает и улучшать алгоритмы и модели машинного обучения</t>
  </si>
  <si>
    <t>ПКП-20-МО-2</t>
  </si>
  <si>
    <t xml:space="preserve">Способен проектировать и внедрять системы автоматизации жизненного цикла машинного обучения (MLOps)</t>
  </si>
  <si>
    <t>ПКП-21-ППК-У2</t>
  </si>
  <si>
    <t xml:space="preserve">Способен выстраивать и анализировать взаимосвязь технических решений и задач разработки с бизнес-целями и показателями компании</t>
  </si>
  <si>
    <t>ПКП-22-РГ-2</t>
  </si>
  <si>
    <t xml:space="preserve">Способен организовать процессы разработки компьютерного программного обеспечения</t>
  </si>
  <si>
    <t>ПКП-23-РГ-4</t>
  </si>
  <si>
    <t xml:space="preserve">Способен организовать промышленную разработку программного обеспечения</t>
  </si>
  <si>
    <t>ПКП-24-РГ-5</t>
  </si>
  <si>
    <t xml:space="preserve">Способен организовать процессы применения искусственного интеллекта (ИИ) для генерации и отладки программного кода</t>
  </si>
  <si>
    <t xml:space="preserve">Раздел 2. Организация обучения и итоговой аттестации</t>
  </si>
  <si>
    <t xml:space="preserve">Код Блока</t>
  </si>
  <si>
    <t>Трудоёмкость,</t>
  </si>
  <si>
    <t xml:space="preserve">Наименование дисциплины (модуля), практики,</t>
  </si>
  <si>
    <t xml:space="preserve">Виды текущего контроля успеваемости и (или) форма промежуточной аттестации</t>
  </si>
  <si>
    <t xml:space="preserve">Аудиторная работа обучающихся, часов</t>
  </si>
  <si>
    <t xml:space="preserve">Самостоятельная работа, часов</t>
  </si>
  <si>
    <t xml:space="preserve">Объём занятий в активных и интерактивных формах, часов</t>
  </si>
  <si>
    <t xml:space="preserve">зачётных единиц</t>
  </si>
  <si>
    <t xml:space="preserve">формы научно-исследовательской работы</t>
  </si>
  <si>
    <t>Лекции</t>
  </si>
  <si>
    <t>Семинары</t>
  </si>
  <si>
    <t>Консультации</t>
  </si>
  <si>
    <t xml:space="preserve">Практические занятия</t>
  </si>
  <si>
    <t xml:space="preserve">Лабораторные работы</t>
  </si>
  <si>
    <t xml:space="preserve">Контрольные работы</t>
  </si>
  <si>
    <t>Коллоквиумы</t>
  </si>
  <si>
    <t xml:space="preserve">Текущий контроль</t>
  </si>
  <si>
    <t xml:space="preserve">Промежуточная аттестация</t>
  </si>
  <si>
    <t xml:space="preserve">Под руководством преподавателя</t>
  </si>
  <si>
    <t xml:space="preserve">В присутствии преподавателя</t>
  </si>
  <si>
    <t xml:space="preserve">В т.ч. с использованием учебно-методич. материалов</t>
  </si>
  <si>
    <t xml:space="preserve">1 год обучения</t>
  </si>
  <si>
    <t xml:space="preserve">С01. Семестр 1</t>
  </si>
  <si>
    <t xml:space="preserve">Базовая часть периода обучения</t>
  </si>
  <si>
    <t>Блок.1.дисц</t>
  </si>
  <si>
    <t xml:space="preserve">УК-1, УНК-3, ОПК-1, ПКА-1</t>
  </si>
  <si>
    <t xml:space="preserve">[000160] Алгебра и геометрия</t>
  </si>
  <si>
    <t xml:space="preserve">зачёт, экзамен</t>
  </si>
  <si>
    <t xml:space="preserve">Algebra and Geometry</t>
  </si>
  <si>
    <t xml:space="preserve">ОПК-2, ОПК-3, ОПК-4, ОПК-5, ПКП-1-ППК-Р1, ПКП-2-ППК-Р2, ПКП-8-ППК-ДА1</t>
  </si>
  <si>
    <t xml:space="preserve">[001858] Практикум на ЭВМ</t>
  </si>
  <si>
    <t>зачёт</t>
  </si>
  <si>
    <t xml:space="preserve">Computer Workshop</t>
  </si>
  <si>
    <t xml:space="preserve">УК-1, УНК-3,  ОПК-1, ПКА-1</t>
  </si>
  <si>
    <t xml:space="preserve">[001856] Математический анализ I</t>
  </si>
  <si>
    <t xml:space="preserve">Mathematical Analysis I</t>
  </si>
  <si>
    <t xml:space="preserve">[066851] Адаптация и обучение в Университете (ЭО)</t>
  </si>
  <si>
    <t xml:space="preserve">Adapting and Studying at the University (eLearning)</t>
  </si>
  <si>
    <t xml:space="preserve">УНК-3, ОПК-2, ОПК-3, ПКА-1, ПКП-1-ППК-Р1, ПКП-2-ППК-Р2</t>
  </si>
  <si>
    <t xml:space="preserve">[001857] Основы программирования</t>
  </si>
  <si>
    <t>экзамен</t>
  </si>
  <si>
    <t xml:space="preserve">Introduction to Programming</t>
  </si>
  <si>
    <t xml:space="preserve">[900000] Физическая культура и спорт (дополн), осн тр</t>
  </si>
  <si>
    <t xml:space="preserve">текущий контроль</t>
  </si>
  <si>
    <t xml:space="preserve">Physical Training and Sport</t>
  </si>
  <si>
    <t xml:space="preserve">[900000] Физическая культура и спорт (оздор), осн тр</t>
  </si>
  <si>
    <t xml:space="preserve">[900000] Физическая культура и спорт (основной), осн тр</t>
  </si>
  <si>
    <t xml:space="preserve">[900000] Физическая культура и спорт (прог эл обуч), осн тр</t>
  </si>
  <si>
    <t xml:space="preserve">[900000] Физическая культура и спорт (спорт), осн тр</t>
  </si>
  <si>
    <t xml:space="preserve">УК-1, УНК-3, ПКА-1, ПКП-1-ППК-Р1</t>
  </si>
  <si>
    <t xml:space="preserve">[000121] Основы дискретной математики</t>
  </si>
  <si>
    <t xml:space="preserve">Fundamentals of Discrete Mathematics</t>
  </si>
  <si>
    <t xml:space="preserve">УК-5, УКБ-2</t>
  </si>
  <si>
    <t xml:space="preserve">[075194] Основы российской государственности</t>
  </si>
  <si>
    <t xml:space="preserve">Fundamentals of Russian Statehood</t>
  </si>
  <si>
    <t xml:space="preserve">[073267] История России</t>
  </si>
  <si>
    <t xml:space="preserve">History of Russia</t>
  </si>
  <si>
    <t xml:space="preserve">Блок(и) дисциплин</t>
  </si>
  <si>
    <t xml:space="preserve">Блок дисциплин Иностранный язык</t>
  </si>
  <si>
    <t xml:space="preserve">Траектория 1 (0-B2) C1-C4</t>
  </si>
  <si>
    <t xml:space="preserve">[700000] Английский язык (общ курс), 1 (0 – В2)</t>
  </si>
  <si>
    <t>English</t>
  </si>
  <si>
    <t xml:space="preserve">Траектория 2 (A1-B2) C1-C4</t>
  </si>
  <si>
    <t xml:space="preserve">[700000] Английский язык (общ курс), 2 (А2 – В2)</t>
  </si>
  <si>
    <t xml:space="preserve">Траектория 3 (B1-B2) C1-C4</t>
  </si>
  <si>
    <t xml:space="preserve">[700000] Английский язык (общ курс), 3 (В1 – В2)</t>
  </si>
  <si>
    <t xml:space="preserve">Траектория 4 (B2-B2+) C1-C4</t>
  </si>
  <si>
    <t xml:space="preserve">[700000] Английский язык (общ курс), 4 (В2-В2+)</t>
  </si>
  <si>
    <t xml:space="preserve">Траектория 1 (РКИ)</t>
  </si>
  <si>
    <t xml:space="preserve">[800000] Русский язык как иностранный (общ курс), рки 1</t>
  </si>
  <si>
    <t xml:space="preserve">Russian as a Foreign Language</t>
  </si>
  <si>
    <t xml:space="preserve">Траектория 2 (РКИ)</t>
  </si>
  <si>
    <t xml:space="preserve">[800000] Русский язык как иностранный (общ курс), рки2</t>
  </si>
  <si>
    <t xml:space="preserve">Вариативная часть периода обучения</t>
  </si>
  <si>
    <t xml:space="preserve">Не предусмотрено</t>
  </si>
  <si>
    <t xml:space="preserve">Факультативные занятия</t>
  </si>
  <si>
    <t xml:space="preserve">от 1</t>
  </si>
  <si>
    <t xml:space="preserve">Дисциплины по выбору:</t>
  </si>
  <si>
    <t>зачёты:</t>
  </si>
  <si>
    <t xml:space="preserve">до 9</t>
  </si>
  <si>
    <t xml:space="preserve">Китайский язык (онлайн-курс). Семестр 1</t>
  </si>
  <si>
    <t xml:space="preserve">от 1 до 7</t>
  </si>
  <si>
    <t xml:space="preserve">Chinese Language (Online Course). Semestr 1</t>
  </si>
  <si>
    <t xml:space="preserve">(выбрать от 1 до 7 дисц.)</t>
  </si>
  <si>
    <t>экзамены:</t>
  </si>
  <si>
    <t xml:space="preserve">не предусмотрены</t>
  </si>
  <si>
    <t xml:space="preserve">[076220] Китайский язык для начинающих. Часть 1 (онлайн-курс) (онлайн), тр 1 сем</t>
  </si>
  <si>
    <t xml:space="preserve">Chinese Language for Beginners. Part 1 (Online Course)</t>
  </si>
  <si>
    <t xml:space="preserve">[076221] Китайский язык для начинающих. Часть 2 (онлайн-курс) (онлайн), тр 1 сем</t>
  </si>
  <si>
    <t xml:space="preserve">Chinese Language for Beginners. Part 2 (Online Course)</t>
  </si>
  <si>
    <t xml:space="preserve">[076222] Китайский язык: пять шагов к успеху. Часть 1 (онлайн-курс) (онлайн), тр 1 сем</t>
  </si>
  <si>
    <t xml:space="preserve">Chinese Language: 5 Steps to Success. Part 1 (Online Course)</t>
  </si>
  <si>
    <t xml:space="preserve">[076223] Китайский язык: пять шагов к успеху. Часть 2 (онлайн-курс) (онлайн), тр 1 сем</t>
  </si>
  <si>
    <t xml:space="preserve">Chinese Language: 5 Steps to Success. Part 2 (Online Course)</t>
  </si>
  <si>
    <t xml:space="preserve">[076224] Китайский язык: пять шагов к успеху. Часть 3 (онлайн-курс) (онлайн), тр 1 сем</t>
  </si>
  <si>
    <t xml:space="preserve">Chinese Language: 5 Steps to Success. Part 3 (Online Course)</t>
  </si>
  <si>
    <t xml:space="preserve">[076225] Китайский язык: пять шагов к успеху. Часть 4 (онлайн-курс) (онлайн), тр 1 сем</t>
  </si>
  <si>
    <t xml:space="preserve">Chinese Language: 5 Steps to Success. Part 4 (Online Course)</t>
  </si>
  <si>
    <t xml:space="preserve">[076226] Китайский язык: пять шагов к успеху. Часть 5 (онлайн-курс) (онлайн), тр 1 сем</t>
  </si>
  <si>
    <t xml:space="preserve">Chinese Language: 5 Steps to Success. Part 5 (Online Course)</t>
  </si>
  <si>
    <t xml:space="preserve">[080998] История религий России (онлайн-курс) (онлайн), тр 1 сем</t>
  </si>
  <si>
    <t xml:space="preserve">History of Religions in Russia (Online Course)</t>
  </si>
  <si>
    <t xml:space="preserve">до 2</t>
  </si>
  <si>
    <t xml:space="preserve">Хинди (онлайн-курс). Семестр 1</t>
  </si>
  <si>
    <t xml:space="preserve">от 1 до 2</t>
  </si>
  <si>
    <t xml:space="preserve">Hindi (Online Course). Semestr 1</t>
  </si>
  <si>
    <t xml:space="preserve">(выбрать от 1 до 2 дисц.)</t>
  </si>
  <si>
    <t xml:space="preserve">[078036] Хинди для начинающих. Часть 1 (онлайн-курс) (онлайн), тр 1 сем</t>
  </si>
  <si>
    <t xml:space="preserve">Hindi for Beginners. Part 1 (Online Course)</t>
  </si>
  <si>
    <t xml:space="preserve">[078037] Хинди для начинающих. Часть 2 (онлайн-курс) (онлайн), тр 1 сем</t>
  </si>
  <si>
    <t xml:space="preserve">Hindi for Beginners. Part 2 (Online Course)</t>
  </si>
  <si>
    <t xml:space="preserve">С02. Семестр 2</t>
  </si>
  <si>
    <t xml:space="preserve">[001860] Архитектура вычислительных систем</t>
  </si>
  <si>
    <t xml:space="preserve">Architecture of Computational Systems</t>
  </si>
  <si>
    <t xml:space="preserve">[001859] Математический анализ II</t>
  </si>
  <si>
    <t xml:space="preserve">Mathematical Analysis II</t>
  </si>
  <si>
    <t xml:space="preserve">Профиль Стандарт</t>
  </si>
  <si>
    <t xml:space="preserve">ОПК-2, ОПК-3, ОПК-4, ОПК-5, ПКП-1-ППК-Р1, ПКП-2-ППК-Р2, ПКП-5-ППК-Р5, ПКП-6-ППК-Р6, ПКП-8-ППК-ДА1, ПКП-9-ППК-ДА2, ПКП-10-ППК-ДА3</t>
  </si>
  <si>
    <t xml:space="preserve">Профиль ТОП ИТ ПРО</t>
  </si>
  <si>
    <t>Блок.2..прки</t>
  </si>
  <si>
    <t xml:space="preserve">УК-1, УК-2, УК-3, УК-5, УНК-1, УНК-2, УНК-3, УКБ-1, УКБ-3, ОПК-1, ОПК-2, ОПК-3, ОПК-4, ОПК-5, ОПК-6, ПКА-1, ПКА-2, ПКП-1-ППК-Р1, ПКП-2-ППК-Р2, ПКП-3-ППК-Р3, ПКП-4-ППК-Р4, ПКП-5-ППК-Р5, ПКП-6-ППК-Р6, ПКП-8-ППК-ДА1, ПКП-9-ППК-ДА2, ПКП-10-ППК-ДА3, ПКП-11-ППК-ДА4, ПКП-13-ППК-ДА6, ПКП-14-ППК-ДА7, ПКП-19-МО-1, ПКП-20-МО-2, ПКП-22-РГ-2, ПКП-23-РГ-4</t>
  </si>
  <si>
    <t xml:space="preserve">[064682] Учебная практика (проектно-технологическая)</t>
  </si>
  <si>
    <t>зачет</t>
  </si>
  <si>
    <t xml:space="preserve">Practical Training (Project and Technological)</t>
  </si>
  <si>
    <t xml:space="preserve">[080998] История религий России (онлайн-курс) (онлайн), тр 2 сем</t>
  </si>
  <si>
    <t xml:space="preserve">Китайский язык (онлайн-курс). Семестр 2</t>
  </si>
  <si>
    <t xml:space="preserve">Chinese Language (Online Course). Semestr 2</t>
  </si>
  <si>
    <t xml:space="preserve">[076220] Китайский язык для начинающих. Часть 1 (онлайн-курс) (онлайн), тр 2 сем</t>
  </si>
  <si>
    <t xml:space="preserve">[076221] Китайский язык для начинающих. Часть 2 (онлайн-курс) (онлайн), тр 2 сем</t>
  </si>
  <si>
    <t xml:space="preserve">[076222] Китайский язык: пять шагов к успеху. Часть 1 (онлайн-курс) (онлайн), тр 2 сем</t>
  </si>
  <si>
    <t xml:space="preserve">[076223] Китайский язык: пять шагов к успеху. Часть 2 (онлайн-курс) (онлайн), тр 2 сем</t>
  </si>
  <si>
    <t xml:space="preserve">[076224] Китайский язык: пять шагов к успеху. Часть 3 (онлайн-курс) (онлайн), тр 2 сем</t>
  </si>
  <si>
    <t xml:space="preserve">[076225] Китайский язык: пять шагов к успеху. Часть 4 (онлайн-курс) (онлайн), тр 2 сем</t>
  </si>
  <si>
    <t xml:space="preserve">[076226] Китайский язык: пять шагов к успеху. Часть 5 (онлайн-курс) (онлайн), тр 2 сем</t>
  </si>
  <si>
    <t xml:space="preserve">УК-6, УКБ-2</t>
  </si>
  <si>
    <t xml:space="preserve">[067164] Университетская жизнь. Основы корпоративной этики (онлайн-курс)</t>
  </si>
  <si>
    <t xml:space="preserve">University. Intro to Corporate Ethics (Online Course)</t>
  </si>
  <si>
    <t xml:space="preserve">Хинди (онлайн-курс). Семестр 2</t>
  </si>
  <si>
    <t xml:space="preserve">Hindi (Online Course). Semestr 2</t>
  </si>
  <si>
    <t xml:space="preserve">[078036] Хинди для начинающих. Часть 1 (онлайн-курс) (онлайн), тр 2 сем</t>
  </si>
  <si>
    <t xml:space="preserve">[078037] Хинди для начинающих. Часть 2 (онлайн-курс) (онлайн), тр 2 сем</t>
  </si>
  <si>
    <t xml:space="preserve">2 год обучения</t>
  </si>
  <si>
    <t xml:space="preserve">С03. Семестр 3</t>
  </si>
  <si>
    <t xml:space="preserve">УК-1, УНК-3, ОПК-1, ОПК-3, ПКА-1</t>
  </si>
  <si>
    <t xml:space="preserve">[001868] Математическая логика и теория алгоритмов</t>
  </si>
  <si>
    <t xml:space="preserve">Mathematical Logic and Computability Theory</t>
  </si>
  <si>
    <t xml:space="preserve">УК-1, УНК-3, ОПК-1, ОПК-3, ПКА-1, ПКП-1-ППК-Р1</t>
  </si>
  <si>
    <t xml:space="preserve">[056787] Алгоритмы и структуры данных</t>
  </si>
  <si>
    <t xml:space="preserve">Algorithms and Data Structures</t>
  </si>
  <si>
    <t xml:space="preserve">[060008] Язык эффективной коммуникации (онлайн-курс)</t>
  </si>
  <si>
    <t xml:space="preserve">Language of Effective Communication (Online Course)</t>
  </si>
  <si>
    <t xml:space="preserve">[001862] Кратные интегралы и ряды</t>
  </si>
  <si>
    <t xml:space="preserve">Multiple Integrals and Series</t>
  </si>
  <si>
    <t xml:space="preserve">ОПК-2, ОПК-3, ПКП-1-ППК-Р1, ПКП-2-ППК-Р2</t>
  </si>
  <si>
    <t xml:space="preserve">[000118] Языки программирования</t>
  </si>
  <si>
    <t xml:space="preserve">Programming Languages</t>
  </si>
  <si>
    <t xml:space="preserve">УК-3, ОПК-1, ОПК-2, ОПК-3, ПКП-15-ППК-ОС2, ПКП-18-ППК-ОС6</t>
  </si>
  <si>
    <t xml:space="preserve">[000120] Компьютерные сети</t>
  </si>
  <si>
    <t>Networks</t>
  </si>
  <si>
    <t xml:space="preserve">[001863] Физика</t>
  </si>
  <si>
    <t>Physics</t>
  </si>
  <si>
    <t xml:space="preserve">[001864] Теория автоматов и формальных языков</t>
  </si>
  <si>
    <t xml:space="preserve">Formal Languages and Automata Theory</t>
  </si>
  <si>
    <t xml:space="preserve">ОПК-2, ОПК-3, ОПК-5, ОПК-6, ПКП-1-ППК-Р1, ПКП-9-ППК-ДА2</t>
  </si>
  <si>
    <t xml:space="preserve">[001872] Введение в современные пакеты научных и инженерных вычислений</t>
  </si>
  <si>
    <t xml:space="preserve">Introduction to Computing with Modern Scientific and Engineering Packages</t>
  </si>
  <si>
    <t xml:space="preserve">УК-1, ОПК-1, ПКП-9-ППК-ДА2, ПКП-10-ППК-ДА3, ПКП-12-ППК-ДА5</t>
  </si>
  <si>
    <t xml:space="preserve">[001870] Теория вероятности и математическая статистика</t>
  </si>
  <si>
    <t xml:space="preserve">Probability Theory and Mathematical Statistics</t>
  </si>
  <si>
    <t xml:space="preserve">Хинди (онлайн-курс). Семестр 3</t>
  </si>
  <si>
    <t xml:space="preserve">Hindi (Online Course). Semestr 3</t>
  </si>
  <si>
    <t xml:space="preserve">[078036] Хинди для начинающих. Часть 1 (онлайн-курс) (онлайн), тр 3 сем</t>
  </si>
  <si>
    <t xml:space="preserve">[078037] Хинди для начинающих. Часть 2 (онлайн-курс) (онлайн), тр 3 сем</t>
  </si>
  <si>
    <t xml:space="preserve">Китайский язык (онлайн-курс). Семестр 3</t>
  </si>
  <si>
    <t xml:space="preserve">Chinese Language (Online Course). Semestr 3</t>
  </si>
  <si>
    <t xml:space="preserve">[076220] Китайский язык для начинающих. Часть 1 (онлайн-курс) (онлайн), тр 3 сем</t>
  </si>
  <si>
    <t xml:space="preserve">[076221] Китайский язык для начинающих. Часть 2 (онлайн-курс) (онлайн), тр 3 сем</t>
  </si>
  <si>
    <t xml:space="preserve">[076222] Китайский язык: пять шагов к успеху. Часть 1 (онлайн-курс) (онлайн), тр 3 сем</t>
  </si>
  <si>
    <t xml:space="preserve">[076223] Китайский язык: пять шагов к успеху. Часть 2 (онлайн-курс) (онлайн), тр 3 сем</t>
  </si>
  <si>
    <t xml:space="preserve">[076224] Китайский язык: пять шагов к успеху. Часть 3 (онлайн-курс) (онлайн), тр 3 сем</t>
  </si>
  <si>
    <t xml:space="preserve">[076225] Китайский язык: пять шагов к успеху. Часть 4 (онлайн-курс) (онлайн), тр 3 сем</t>
  </si>
  <si>
    <t xml:space="preserve">[076226] Китайский язык: пять шагов к успеху. Часть 5 (онлайн-курс) (онлайн), тр 3 сем</t>
  </si>
  <si>
    <t xml:space="preserve">С04. Семестр 4</t>
  </si>
  <si>
    <t xml:space="preserve">УНК-3, ОПК-2, ОПК-3, ОПК-5, ПКА-1, ПКП-5-ППК-Р5, ПКП-15-ППК-ОС2</t>
  </si>
  <si>
    <t xml:space="preserve">[001865] Операционные системы</t>
  </si>
  <si>
    <t xml:space="preserve">Operating Systems</t>
  </si>
  <si>
    <t xml:space="preserve">[001888] Основы функционального анализа</t>
  </si>
  <si>
    <t xml:space="preserve">Fundamentals of Functional Analysis</t>
  </si>
  <si>
    <t xml:space="preserve">УК-2, УК-9, УКБ-1</t>
  </si>
  <si>
    <t xml:space="preserve">[062762] Основы финансовой грамотности (онлайн-курс)</t>
  </si>
  <si>
    <t xml:space="preserve">The Basics of Financial Literacy (Online Course)</t>
  </si>
  <si>
    <t xml:space="preserve">аттестационное испытание</t>
  </si>
  <si>
    <t xml:space="preserve">[001869] Дифференциальные и разностные уравнения</t>
  </si>
  <si>
    <t xml:space="preserve">Differential and Difference Equations</t>
  </si>
  <si>
    <t xml:space="preserve">УК-1, УНК-3, ОПК-1, ПКА-1, ПКП-1-ППК-Р1</t>
  </si>
  <si>
    <t xml:space="preserve">[001871] Вычислительная математика</t>
  </si>
  <si>
    <t xml:space="preserve">Computational Mathematics</t>
  </si>
  <si>
    <t xml:space="preserve">УНК-3, ОПК-2, ОПК-3, ПКА-1</t>
  </si>
  <si>
    <t xml:space="preserve">[001866] Компьютерная графика</t>
  </si>
  <si>
    <t xml:space="preserve">Computer Graphics</t>
  </si>
  <si>
    <t xml:space="preserve">УНК-3, ОПК-1, ОПК-3, ПКА-1, ПКА-2, ПКП-19-МО-1</t>
  </si>
  <si>
    <t xml:space="preserve">Численные методы оптимизации</t>
  </si>
  <si>
    <t xml:space="preserve">Numerical Optimization Methods</t>
  </si>
  <si>
    <t xml:space="preserve">ОПК-2, ПКП-9-ППК-ДА2, ПКП-10-ППК-ДА3, ПКП-19-МО-1</t>
  </si>
  <si>
    <t xml:space="preserve">[076082] Машинное обучение</t>
  </si>
  <si>
    <t xml:space="preserve">Machine Learning</t>
  </si>
  <si>
    <t xml:space="preserve">Китайский язык (онлайн-курс). Семестр 4</t>
  </si>
  <si>
    <t xml:space="preserve">Chinese Language (Online Course). Semestr 4</t>
  </si>
  <si>
    <t xml:space="preserve">[076220] Китайский язык для начинающих. Часть 1 (онлайн-курс) (онлайн), тр 4 сем</t>
  </si>
  <si>
    <t xml:space="preserve">[076221] Китайский язык для начинающих. Часть 2 (онлайн-курс) (онлайн), тр 4 сем</t>
  </si>
  <si>
    <t xml:space="preserve">[076222] Китайский язык: пять шагов к успеху. Часть 1 (онлайн-курс) (онлайн), тр 4 сем</t>
  </si>
  <si>
    <t xml:space="preserve">[076223] Китайский язык: пять шагов к успеху. Часть 2 (онлайн-курс) (онлайн), тр 4 сем</t>
  </si>
  <si>
    <t xml:space="preserve">[076224] Китайский язык: пять шагов к успеху. Часть 3 (онлайн-курс) (онлайн), тр 4 сем</t>
  </si>
  <si>
    <t xml:space="preserve">[076225] Китайский язык: пять шагов к успеху. Часть 4 (онлайн-курс) (онлайн), тр 4 сем</t>
  </si>
  <si>
    <t xml:space="preserve">[076226] Китайский язык: пять шагов к успеху. Часть 5 (онлайн-курс) (онлайн), тр 4 сем</t>
  </si>
  <si>
    <t xml:space="preserve">УК-4, УК-6, УКБ-3</t>
  </si>
  <si>
    <t xml:space="preserve">[067328] Основы делового общения (онлайн-курс)</t>
  </si>
  <si>
    <t xml:space="preserve">Fundamentals of Business Communication (Online Course)</t>
  </si>
  <si>
    <t xml:space="preserve">Хинди (онлайн-курс). Семестр 4</t>
  </si>
  <si>
    <t xml:space="preserve">Hindi (Online Course). Semestr 4</t>
  </si>
  <si>
    <t xml:space="preserve">[078036] Хинди для начинающих. Часть 1 (онлайн-курс) (онлайн), тр 4 сем</t>
  </si>
  <si>
    <t xml:space="preserve">[078037] Хинди для начинающих. Часть 2 (онлайн-курс) (онлайн), тр 4 сем</t>
  </si>
  <si>
    <t xml:space="preserve">3 год обучения</t>
  </si>
  <si>
    <t xml:space="preserve">С05. Семестр 5</t>
  </si>
  <si>
    <t xml:space="preserve">ОПК-4, ОПК-5, ПКП-4-ППК-Р4, ПКП-5-ППК-Р5, ПКП-13-ППК-ДА6</t>
  </si>
  <si>
    <t xml:space="preserve">[056789] Введение в системы баз данных</t>
  </si>
  <si>
    <t xml:space="preserve">Introduction to Database Systems</t>
  </si>
  <si>
    <t xml:space="preserve">УК-2, УК-10, УКБ-2</t>
  </si>
  <si>
    <t xml:space="preserve">[060009] Основы противодействия коррупции и экстремизму (онлайн-курс)</t>
  </si>
  <si>
    <t xml:space="preserve">Fundamentals of Counter-Terrorist and Counter-Extremist Activities (Online Course)</t>
  </si>
  <si>
    <t xml:space="preserve">[073519] Безопасность жизнедеятельности</t>
  </si>
  <si>
    <t xml:space="preserve">аттестационное испытание, зачёт</t>
  </si>
  <si>
    <t xml:space="preserve">Life Safety</t>
  </si>
  <si>
    <t xml:space="preserve">ОПК-2, ОПК-3, ПКП-1-ППК-Р1, ПКП-2-ППК-Р2, ПКП-3-ППК-Р3, ПКП-4-ППК-Р4, ПКП-5-ППК-Р5, ПКП-6-ППК-Р6</t>
  </si>
  <si>
    <t xml:space="preserve">[001890] Технологии Интернет и WEB-программирования</t>
  </si>
  <si>
    <t xml:space="preserve">Internet Technologies and Web Programming</t>
  </si>
  <si>
    <t xml:space="preserve">УК-1, УНК-3, ОПК-1, ПКА-1, ПКП-9-ППК-ДА2, ПКП-10-ППК-ДА3, ПКП-12-ППК-ДА5</t>
  </si>
  <si>
    <t xml:space="preserve">[001881] Прикладные задачи теории вероятности</t>
  </si>
  <si>
    <t xml:space="preserve">Applied Problems of Probability Theory</t>
  </si>
  <si>
    <t xml:space="preserve">[001873] Алгоритмы и анализ сложности</t>
  </si>
  <si>
    <t xml:space="preserve">Algorithms and Complexity</t>
  </si>
  <si>
    <t xml:space="preserve">[076083] Глубокое обучение</t>
  </si>
  <si>
    <t xml:space="preserve">Deep Learning</t>
  </si>
  <si>
    <t xml:space="preserve">ПКП-3-ППК-Р3, ПКП-13-ППК-ДА6, ПКП-20-МО-2, ПКП-23-РГ-4</t>
  </si>
  <si>
    <t xml:space="preserve">Технологии MLOps</t>
  </si>
  <si>
    <t xml:space="preserve">MLOps Technologies</t>
  </si>
  <si>
    <t xml:space="preserve">ОПК-2, ПКП-6-ППК-Р6, ПКП-15-ППК-ОС2, ПКП-16-ППК-ОС3, ПКП-17-ППК-ОС4, ПКП-18-ППК-ОС6, ПКП-20-МО-2</t>
  </si>
  <si>
    <t xml:space="preserve">[080131] Kubernetes как средство оркестрации контейнеров</t>
  </si>
  <si>
    <t xml:space="preserve">Kubernetes as Container Orchestration Tool</t>
  </si>
  <si>
    <t xml:space="preserve">ОПК-2, ПКП-3-ППК-Р3</t>
  </si>
  <si>
    <t xml:space="preserve">[056790] Архитектура высокопроизводительных компьютерных систем</t>
  </si>
  <si>
    <t xml:space="preserve">Architecture for High-Performance Computing</t>
  </si>
  <si>
    <t xml:space="preserve">ОПК-2, ПКП-2-ППК-Р2</t>
  </si>
  <si>
    <t xml:space="preserve">[058774] Тестирование программного обеспечения</t>
  </si>
  <si>
    <t xml:space="preserve">Software Testing</t>
  </si>
  <si>
    <t xml:space="preserve">ПКП-5-ППК-Р5, ПКП-16-ППК-ОС3, ПКП-17-ППК-ОС4, ПКП-18-ППК-ОС6</t>
  </si>
  <si>
    <t>DevOps</t>
  </si>
  <si>
    <t xml:space="preserve">ПКП-5-ППК-Р5,ПКП-17-ППК-ОС4, ПКП-18-ППК-ОС6,</t>
  </si>
  <si>
    <t xml:space="preserve">Основы проектирования информационных систем</t>
  </si>
  <si>
    <t xml:space="preserve">Fundamentals of Information Systems Design</t>
  </si>
  <si>
    <t xml:space="preserve">ПКП-5-ППК-Р5,ПКП-13-ППК-ДА6, ПКП-17-ППК-ОС4</t>
  </si>
  <si>
    <t xml:space="preserve">Распределнные системы обработки данных</t>
  </si>
  <si>
    <t xml:space="preserve">Distributed Data Processing Systems</t>
  </si>
  <si>
    <t xml:space="preserve">Хинди (онлайн-курс). Семестр 5</t>
  </si>
  <si>
    <t xml:space="preserve">Hindi (Online Course). Semestr 5</t>
  </si>
  <si>
    <t xml:space="preserve">[078036] Хинди для начинающих. Часть 1 (онлайн-курс) (онлайн), тр 5 сем</t>
  </si>
  <si>
    <t xml:space="preserve">[078037] Хинди для начинающих. Часть 2 (онлайн-курс) (онлайн), тр 5 сем</t>
  </si>
  <si>
    <t xml:space="preserve">Китайский язык (онлайн-курс). Семестр 5</t>
  </si>
  <si>
    <t xml:space="preserve">Chinese Language (Online Course). Semestr 5</t>
  </si>
  <si>
    <t xml:space="preserve">[076220] Китайский язык для начинающих. Часть 1 (онлайн-курс) (онлайн), тр 5 сем</t>
  </si>
  <si>
    <t xml:space="preserve">[076221] Китайский язык для начинающих. Часть 2 (онлайн-курс) (онлайн), тр 5 сем</t>
  </si>
  <si>
    <t xml:space="preserve">[076222] Китайский язык: пять шагов к успеху. Часть 1 (онлайн-курс) (онлайн), тр 5 сем</t>
  </si>
  <si>
    <t xml:space="preserve">[076223] Китайский язык: пять шагов к успеху. Часть 2 (онлайн-курс) (онлайн), тр 5 сем</t>
  </si>
  <si>
    <t xml:space="preserve">[076224] Китайский язык: пять шагов к успеху. Часть 3 (онлайн-курс) (онлайн), тр 5 сем</t>
  </si>
  <si>
    <t xml:space="preserve">[076225] Китайский язык: пять шагов к успеху. Часть 4 (онлайн-курс) (онлайн), тр 5 сем</t>
  </si>
  <si>
    <t xml:space="preserve">[076226] Китайский язык: пять шагов к успеху. Часть 5 (онлайн-курс) (онлайн), тр 5 сем</t>
  </si>
  <si>
    <t xml:space="preserve">С06. Семестр 6</t>
  </si>
  <si>
    <t xml:space="preserve">УНК-3, ОПК-1, ОПК-2, ПКА-1, ПКП-5-ППК-Р5</t>
  </si>
  <si>
    <t xml:space="preserve">[001877] Моделирование информационных процессов</t>
  </si>
  <si>
    <t xml:space="preserve">Information Process Modelling</t>
  </si>
  <si>
    <t xml:space="preserve">УНК-3, ОПК-2, ОПК-3, ПКА-1, ПКП-10-ППК-ДА3, ПКП-12-ППК-ДА5</t>
  </si>
  <si>
    <t xml:space="preserve">[001898] Методы и средства научной визуализации</t>
  </si>
  <si>
    <t xml:space="preserve">Methods and Tools for Scientific Visualization</t>
  </si>
  <si>
    <t xml:space="preserve">УК-1, УНК-3, ОПК-1, ПКА-1, ПКП-19-МО-1</t>
  </si>
  <si>
    <t xml:space="preserve">[001880] Неклассические логики</t>
  </si>
  <si>
    <t xml:space="preserve">Non-Classical Logic</t>
  </si>
  <si>
    <t xml:space="preserve">[059998] Основы бизнеса (онлайн-курс)</t>
  </si>
  <si>
    <t xml:space="preserve">Business Fundamentals (Online Course)</t>
  </si>
  <si>
    <t xml:space="preserve">[058038] Введение в науку о данных (онлайн-курс)</t>
  </si>
  <si>
    <t xml:space="preserve">Introduction to Data Science (Online Course)</t>
  </si>
  <si>
    <t xml:space="preserve">УК-1, УК-2, УК-6, УНК-1, УНК-3, УКБ-3, ОПК-1, ОПК-2, ПКА-1, ПКА-2,  ПКП-1-ППК-Р1, ПКП-2-ППК-Р2, ПКП-9-ППК-ДА2, ПКП-10-ППК-ДА3, ПКП-12-ППК-ДА5, ПКП-19-МО-1, ПКП-20-МО-2</t>
  </si>
  <si>
    <t xml:space="preserve">[064683] Учебная практика (научно-исследовательская работа)</t>
  </si>
  <si>
    <t xml:space="preserve">Practical Training (Research Work)</t>
  </si>
  <si>
    <t xml:space="preserve">[001876] Теория конечных графов и ее приложения</t>
  </si>
  <si>
    <t xml:space="preserve">Finite Graph Theory and its Applications</t>
  </si>
  <si>
    <t xml:space="preserve">ОПК-2, ОПК-3, ОПК-4, ПКП-15-ППК-ОС2</t>
  </si>
  <si>
    <t xml:space="preserve">[075318] Программная инженерия кибериммунных систем</t>
  </si>
  <si>
    <t xml:space="preserve">Cyberimmune Systems Software Engineering</t>
  </si>
  <si>
    <t xml:space="preserve">[001879] Методы оптимизации и исследование операций</t>
  </si>
  <si>
    <t xml:space="preserve">Optimisation Methods and Operations Research</t>
  </si>
  <si>
    <t xml:space="preserve">ПКП-21-ППК-У2, ПКП-22-РГ-2</t>
  </si>
  <si>
    <t xml:space="preserve">Управление ИТ Проектами</t>
  </si>
  <si>
    <t xml:space="preserve">IT Project Managment</t>
  </si>
  <si>
    <t xml:space="preserve">ПКП-5-ППК-Р5, ПКП-9-ППК-ДА2, ПКП-13-ППК-ДА6, ПКП-20-МО-2</t>
  </si>
  <si>
    <t xml:space="preserve">Инженерия данных</t>
  </si>
  <si>
    <t xml:space="preserve">Data Engineering</t>
  </si>
  <si>
    <t xml:space="preserve">ОПК-2, ОПК-3, ОПК-4, ПКП-24-РГ-5</t>
  </si>
  <si>
    <t xml:space="preserve">[058775] Верификация, аттестация и качество программного обеспечения</t>
  </si>
  <si>
    <t xml:space="preserve">Verification, Certification and Software Quality</t>
  </si>
  <si>
    <t xml:space="preserve">ПКП-1-ППК-Р1, ПКП-3-ППК-Р3, ПКП-5-ППК-Р5</t>
  </si>
  <si>
    <t xml:space="preserve">[056793] Программные средства высокопроизводительных компьютерных систем</t>
  </si>
  <si>
    <t xml:space="preserve">Software for High-Performance Computing</t>
  </si>
  <si>
    <t xml:space="preserve">ПКП-9-ППК-ДА2, ПКП-10-ППК-ДА3, ПКП-19-МО-1</t>
  </si>
  <si>
    <t xml:space="preserve">Глубокое обучение в задачах компьютерного зрения</t>
  </si>
  <si>
    <t xml:space="preserve">Deep learning in Computer Vision</t>
  </si>
  <si>
    <t xml:space="preserve">Глубокое обучение в задачах обработки естественного языка</t>
  </si>
  <si>
    <t xml:space="preserve">Deep Learning for Natural Language Processing</t>
  </si>
  <si>
    <t xml:space="preserve">Рекомендательные системы</t>
  </si>
  <si>
    <t xml:space="preserve">Recommendation Systems</t>
  </si>
  <si>
    <t xml:space="preserve">Китайский язык (онлайн-курс). Семестр 6</t>
  </si>
  <si>
    <t xml:space="preserve">Chinese Language (Online Course). Semestr 6</t>
  </si>
  <si>
    <t xml:space="preserve">[076220] Китайский язык для начинающих. Часть 1 (онлайн-курс) (онлайн), тр 6 сем</t>
  </si>
  <si>
    <t xml:space="preserve">[076221] Китайский язык для начинающих. Часть 2 (онлайн-курс) (онлайн), тр 6 сем</t>
  </si>
  <si>
    <t xml:space="preserve">[076222] Китайский язык: пять шагов к успеху. Часть 1 (онлайн-курс) (онлайн), тр 6 сем</t>
  </si>
  <si>
    <t xml:space="preserve">[076223] Китайский язык: пять шагов к успеху. Часть 2 (онлайн-курс) (онлайн), тр 6 сем</t>
  </si>
  <si>
    <t xml:space="preserve">[076224] Китайский язык: пять шагов к успеху. Часть 3 (онлайн-курс) (онлайн), тр 6 сем</t>
  </si>
  <si>
    <t xml:space="preserve">[076225] Китайский язык: пять шагов к успеху. Часть 4 (онлайн-курс) (онлайн), тр 6 сем</t>
  </si>
  <si>
    <t xml:space="preserve">[076226] Китайский язык: пять шагов к успеху. Часть 5 (онлайн-курс) (онлайн), тр 6 сем</t>
  </si>
  <si>
    <t xml:space="preserve">Хинди (онлайн-курс). Семестр 6</t>
  </si>
  <si>
    <t xml:space="preserve">Hindi (Online Course). Semestr 6</t>
  </si>
  <si>
    <t xml:space="preserve">[078036] Хинди для начинающих. Часть 1 (онлайн-курс) (онлайн), тр 6 сем</t>
  </si>
  <si>
    <t xml:space="preserve">[078037] Хинди для начинающих. Часть 2 (онлайн-курс) (онлайн), тр 6 сем</t>
  </si>
  <si>
    <t xml:space="preserve">4 год обучения</t>
  </si>
  <si>
    <t xml:space="preserve">С07. Семестр 7</t>
  </si>
  <si>
    <t xml:space="preserve">УК-1, УК-5</t>
  </si>
  <si>
    <t xml:space="preserve">[058037] Философия (онлайн-курс)</t>
  </si>
  <si>
    <t xml:space="preserve">Philosophy (Online Course)</t>
  </si>
  <si>
    <t xml:space="preserve">УК-1, УК-2, УК-9, УКБ-1, ОПК-1</t>
  </si>
  <si>
    <t xml:space="preserve">[058657] Основы организации бизнеса</t>
  </si>
  <si>
    <t xml:space="preserve">Fundamentals of Business Management</t>
  </si>
  <si>
    <t xml:space="preserve">УК-1, УК-2, УК-6, УНК-1, УНК-3, УКБ-3, ОПК-1, ОПК-2, ПКА-1, ПКА-2, ПКП-1-ППК-Р1, ПКП-2-ППК-Р2, ПКП-9-ППК-ДА2, ПКП-10-ППК-ДА3, ПКП-12-ППК-ДА5, ПКП-19-МО-1, ПКП-20-МО-2</t>
  </si>
  <si>
    <t xml:space="preserve">УК-1, УК-5, УК-6</t>
  </si>
  <si>
    <t xml:space="preserve">[072888] Психология (онлайн-курс)</t>
  </si>
  <si>
    <t xml:space="preserve">Psychology (Online Course)</t>
  </si>
  <si>
    <t xml:space="preserve">УНК-3, УКБ-3, ОПК-2, ОПК-3, ОПК-6, ПКА-1, ПКП-9-ППК-ДА2, ПКП-10-ППК-ДА3, ПКП-12-ППК-ДА5, ПКП-19-МО-1</t>
  </si>
  <si>
    <t xml:space="preserve">[001882] Интеллектуальные системы</t>
  </si>
  <si>
    <t xml:space="preserve">Intelligent Systems</t>
  </si>
  <si>
    <t xml:space="preserve">УКБ-3, ОПК-2, ОПК-3, ОПК-4, ОПК-6, ПКП-13-ППК-ДА6</t>
  </si>
  <si>
    <t xml:space="preserve">[001901] Введение в распределенные методы обработки информации</t>
  </si>
  <si>
    <t xml:space="preserve">Introduction to Modern Distributed Methods for Information Processing</t>
  </si>
  <si>
    <t xml:space="preserve">ОПК-2, ОПК-3, ОПК-4, ОПК-6, ПКП-5-ППК-Р5, ПКП-6-ППК-Р6, ПКП-15-ППК-ОС2, ПКП-16-ППК-ОС3, ПКП-17-ППК-ОС4, ПКП-18-ППК-ОС6</t>
  </si>
  <si>
    <t xml:space="preserve">[001907] Основы Grid и Cloud вычислений</t>
  </si>
  <si>
    <t xml:space="preserve">Basics of Grid and Cloud Computing</t>
  </si>
  <si>
    <t xml:space="preserve">ПКП-9-ППК-ДА2, ПКП-10-ППК-ДА3, ПКП-19-МО-1, ПКП-20-МО-2</t>
  </si>
  <si>
    <t xml:space="preserve">Большие языковые модели</t>
  </si>
  <si>
    <t xml:space="preserve">Large Language Models</t>
  </si>
  <si>
    <t xml:space="preserve">ПКП-5-ППК-Р5, ПКП-14-ППК-ДА7, ПКП-20-МО-2</t>
  </si>
  <si>
    <t xml:space="preserve">Технологии разработки мультиагентных систем</t>
  </si>
  <si>
    <t xml:space="preserve">Agentic and Multi-Agent Systems Development Technologies</t>
  </si>
  <si>
    <t xml:space="preserve">ПКП-7-ППК-Р7, ПКП-24-РГ-5</t>
  </si>
  <si>
    <t xml:space="preserve">Разработка ПО с помощью агентных систем</t>
  </si>
  <si>
    <t xml:space="preserve">Software Development with Agentic Systems</t>
  </si>
  <si>
    <t xml:space="preserve">УНК-3, ОПК-1, ОПК-3, ПКА-1, ПКП-5-ППК-Р5</t>
  </si>
  <si>
    <t xml:space="preserve">[058776] Интернет вещей (осн курс), тр 7 сем</t>
  </si>
  <si>
    <t xml:space="preserve">Internet of Things</t>
  </si>
  <si>
    <t xml:space="preserve">УНК-3, ОПК-1, ОПК-3, ПКА-1, ПКП-9-ППК-ДА2, ПКП-10-ППК-ДА3, ПКП-19-МО-1</t>
  </si>
  <si>
    <t xml:space="preserve">[076081] Прикладные задачи машинного обучения на графах</t>
  </si>
  <si>
    <t xml:space="preserve">Machine Learning on Graph</t>
  </si>
  <si>
    <t xml:space="preserve">УНК-3, ОПК-1, ОПК-3, ПКА-1, ПКП-19-МО-1</t>
  </si>
  <si>
    <t xml:space="preserve">[049860] Теория информации и машинное обучение</t>
  </si>
  <si>
    <t xml:space="preserve">Information Theory and Machine Learning</t>
  </si>
  <si>
    <t xml:space="preserve">ПКП-11-ППК-ДА4, ПКП-13-ППК-ДА6, ПКП-14-ППК-ДА7</t>
  </si>
  <si>
    <t xml:space="preserve">Технологии BI</t>
  </si>
  <si>
    <t xml:space="preserve">BI Technologies</t>
  </si>
  <si>
    <t xml:space="preserve">ПКП-8-ППК-ДА1, ПКП-11-ППК-ДА4, ПКП-14-ППК-ДА7, ПКП-22-РГ-2</t>
  </si>
  <si>
    <t xml:space="preserve">Введение в бизнеc анализ</t>
  </si>
  <si>
    <t xml:space="preserve">Introduction to Business Analysis</t>
  </si>
  <si>
    <t xml:space="preserve">ПКП-8-ППК-ДА1, ПКП-11-ППК-ДА4, ПКП-12-ППК-ДА5</t>
  </si>
  <si>
    <t xml:space="preserve">A/B тесты</t>
  </si>
  <si>
    <t xml:space="preserve">A/B Testing</t>
  </si>
  <si>
    <t xml:space="preserve">Китайский язык (онлайн-курс). Семестр 7</t>
  </si>
  <si>
    <t xml:space="preserve">Chinese Language (Online Course). Semestr 7</t>
  </si>
  <si>
    <t xml:space="preserve">[076220] Китайский язык для начинающих. Часть 1 (онлайн-курс) (онлайн), тр 7 сем</t>
  </si>
  <si>
    <t xml:space="preserve">[076221] Китайский язык для начинающих. Часть 2 (онлайн-курс) (онлайн), тр 7 сем</t>
  </si>
  <si>
    <t xml:space="preserve">[076222] Китайский язык: пять шагов к успеху. Часть 1 (онлайн-курс) (онлайн), тр 7 сем</t>
  </si>
  <si>
    <t xml:space="preserve">[076223] Китайский язык: пять шагов к успеху. Часть 2 (онлайн-курс) (онлайн), тр 7 сем</t>
  </si>
  <si>
    <t xml:space="preserve">[076224] Китайский язык: пять шагов к успеху. Часть 3 (онлайн-курс) (онлайн), тр 7 сем</t>
  </si>
  <si>
    <t xml:space="preserve">[076225] Китайский язык: пять шагов к успеху. Часть 4 (онлайн-курс) (онлайн), тр 7 сем</t>
  </si>
  <si>
    <t xml:space="preserve">[076226] Китайский язык: пять шагов к успеху. Часть 5 (онлайн-курс) (онлайн), тр 7 сем</t>
  </si>
  <si>
    <t xml:space="preserve">Хинди (онлайн-курс). Семестр 7</t>
  </si>
  <si>
    <t xml:space="preserve">Hindi (Online Course). Semestr 7</t>
  </si>
  <si>
    <t xml:space="preserve">[078036] Хинди для начинающих. Часть 1 (онлайн-курс) (онлайн), тр 7 сем</t>
  </si>
  <si>
    <t xml:space="preserve">[078037] Хинди для начинающих. Часть 2 (онлайн-курс) (онлайн), тр 7 сем</t>
  </si>
  <si>
    <t xml:space="preserve">С08. Семестр 8</t>
  </si>
  <si>
    <t xml:space="preserve">УК-2, УКБ-3, ОПК-2, ОПК-4, ОПК-5, ПКП-5-ППК-Р5, ПКП-6-ППК-Р6, ПКП-7-ППК-Р7, ПКП-8-ППК-ДА1, ПКП-10-ППК-ДА3, ПКП-11-ППК-ДА4, ПКП-12-ППК-ДА5, ПКП-13-ППК-ДА6, ПКП-20-МО-2, ПКП-21-ППК-У2 </t>
  </si>
  <si>
    <t xml:space="preserve">[064685] Производственная практика (научно-исследовательская работа)</t>
  </si>
  <si>
    <t xml:space="preserve">Internship (Research Project)</t>
  </si>
  <si>
    <t xml:space="preserve">[064684] Производственная практика (проектно-технологическая)</t>
  </si>
  <si>
    <t xml:space="preserve">Internship (Projects and Technological)</t>
  </si>
  <si>
    <t xml:space="preserve">УК-1, УК-2, УКБ-1, ОПК-1</t>
  </si>
  <si>
    <t xml:space="preserve">[001909] Основы менеджмента</t>
  </si>
  <si>
    <t xml:space="preserve">Foundations of Management</t>
  </si>
  <si>
    <t xml:space="preserve">УНК-3, ОПК-2, ОПК-3, ОПК-4, ОПК-6, ПКА-1</t>
  </si>
  <si>
    <t xml:space="preserve">[001913] Прикладные задачи построения современных вычислительных систем</t>
  </si>
  <si>
    <t xml:space="preserve">Applied Problems of Modern Computer Systems Construction</t>
  </si>
  <si>
    <t xml:space="preserve">УК-1, УК-2, УКБ-1</t>
  </si>
  <si>
    <t xml:space="preserve">[058755] Право информационных технологий и интеллектуальной собственности</t>
  </si>
  <si>
    <t xml:space="preserve">Information Technology and Intellectual Property Law</t>
  </si>
  <si>
    <t xml:space="preserve">Профиль СТАНДАРТ</t>
  </si>
  <si>
    <t xml:space="preserve">[056801] Grid and Cloud Computing (на английском языке)</t>
  </si>
  <si>
    <t xml:space="preserve">Grid and Cloud Computing (in English)</t>
  </si>
  <si>
    <t xml:space="preserve">ОПК-2, ОПК-3, ПКП-19-МО-1, ПКП-20-МО-2</t>
  </si>
  <si>
    <t xml:space="preserve">Технологии и инструменты AutoML</t>
  </si>
  <si>
    <t xml:space="preserve">AutoML Technologies</t>
  </si>
  <si>
    <t xml:space="preserve">УНК-3, ОПК-1, ОПК-3, ПКА-1, ПКП-13-ППК-ДА6</t>
  </si>
  <si>
    <t xml:space="preserve">[001911] Алгоритмы и технологии высокопроизводительных вычислений</t>
  </si>
  <si>
    <t xml:space="preserve">Algorithms and Technologies for High Performance Computing</t>
  </si>
  <si>
    <t xml:space="preserve">[058776] Интернет вещей (осн курс), тр 8 сем</t>
  </si>
  <si>
    <t xml:space="preserve">УНК-3, ПКП-5-ППК-Р5, ПКП-20-МО-2</t>
  </si>
  <si>
    <t xml:space="preserve">AI IOT (Искусственный интеллект в Интернете вещей)</t>
  </si>
  <si>
    <t xml:space="preserve">Artificial Intelligence of Things (AIoT)</t>
  </si>
  <si>
    <t xml:space="preserve">ПКП-9-ППК-ДА2, ПКП-12-ППК-ДА5, ПКП-20-МО-2</t>
  </si>
  <si>
    <t xml:space="preserve">Технологии оценки качества мультиагентных систем</t>
  </si>
  <si>
    <t xml:space="preserve">Multi-Agent Systems Quality Evaluation</t>
  </si>
  <si>
    <t xml:space="preserve">Хинди (онлайн-курс). Семестр 8</t>
  </si>
  <si>
    <t xml:space="preserve">Hindi (Online Course). Semestr 8</t>
  </si>
  <si>
    <t xml:space="preserve">[078036] Хинди для начинающих. Часть 1 (онлайн-курс) (онлайн), тр 8 сем</t>
  </si>
  <si>
    <t xml:space="preserve">[078037] Хинди для начинающих. Часть 2 (онлайн-курс) (онлайн), тр 8 сем</t>
  </si>
  <si>
    <t xml:space="preserve">Китайский язык (онлайн-курс). Семестр 8</t>
  </si>
  <si>
    <t xml:space="preserve">Chinese Language (Online Course). Semestr 8</t>
  </si>
  <si>
    <t xml:space="preserve">[076220] Китайский язык для начинающих. Часть 1 (онлайн-курс) (онлайн), тр 8 сем</t>
  </si>
  <si>
    <t xml:space="preserve">[076221] Китайский язык для начинающих. Часть 2 (онлайн-курс) (онлайн), тр 8 сем</t>
  </si>
  <si>
    <t xml:space="preserve">[076222] Китайский язык: пять шагов к успеху. Часть 1 (онлайн-курс) (онлайн), тр 8 сем</t>
  </si>
  <si>
    <t xml:space="preserve">[076223] Китайский язык: пять шагов к успеху. Часть 2 (онлайн-курс) (онлайн), тр 8 сем</t>
  </si>
  <si>
    <t xml:space="preserve">[076224] Китайский язык: пять шагов к успеху. Часть 3 (онлайн-курс) (онлайн), тр 8 сем</t>
  </si>
  <si>
    <t xml:space="preserve">[076225] Китайский язык: пять шагов к успеху. Часть 4 (онлайн-курс) (онлайн), тр 8 сем</t>
  </si>
  <si>
    <t xml:space="preserve">[076226] Китайский язык: пять шагов к успеху. Часть 5 (онлайн-курс) (онлайн), тр 8 сем</t>
  </si>
  <si>
    <t xml:space="preserve">Раздел 3. Структура и форма итоговой аттестации</t>
  </si>
  <si>
    <t xml:space="preserve">Трудоёмкость, зачётных единиц</t>
  </si>
  <si>
    <t xml:space="preserve">Форма и наименование процедуры итоговой аттестации</t>
  </si>
  <si>
    <t xml:space="preserve">Перечень кодов компетенций, 
проверяемых при проведении итоговой аттестации</t>
  </si>
  <si>
    <t xml:space="preserve">И. Итоговая аттестация</t>
  </si>
  <si>
    <t xml:space="preserve">Базовая часть итоговой аттестации</t>
  </si>
  <si>
    <t>Блок.3.гиа</t>
  </si>
  <si>
    <t xml:space="preserve">Защита выпускной квалификационной работы</t>
  </si>
  <si>
    <t xml:space="preserve">ОПК-1, ОПК-2, ОПК-3, УК-1, УК-2, УК-4, УК-5, УКБ-3, УНК-1, УНК-3</t>
  </si>
  <si>
    <t xml:space="preserve">Qualification Research Paper Defense</t>
  </si>
  <si>
    <t xml:space="preserve">Вариативная часть итоговой аттестации</t>
  </si>
  <si>
    <t xml:space="preserve">Раздел 4. Дополнительная информация</t>
  </si>
  <si>
    <t xml:space="preserve">Сопоставление объемов блоков структуры образовательной программы с содержанием действующих федеральных государственных образовательных стандартов</t>
  </si>
  <si>
    <t xml:space="preserve">Структура образовательной программы</t>
  </si>
  <si>
    <t xml:space="preserve">Объем программы и ее блоков в з.е.</t>
  </si>
  <si>
    <t xml:space="preserve">Учебный план образовательной программы СПбГУ</t>
  </si>
  <si>
    <t xml:space="preserve">ФГОС (приказ Минобрнауки России от 23.08.2017 № 808)</t>
  </si>
  <si>
    <t xml:space="preserve">Блок 1</t>
  </si>
  <si>
    <t xml:space="preserve">Дисциплины (модули)</t>
  </si>
  <si>
    <t xml:space="preserve">не менее 160</t>
  </si>
  <si>
    <t xml:space="preserve">Блок 2</t>
  </si>
  <si>
    <t>Практика</t>
  </si>
  <si>
    <t xml:space="preserve">не менее 20</t>
  </si>
  <si>
    <t xml:space="preserve">Блок 3</t>
  </si>
  <si>
    <t xml:space="preserve">Государственная итоговая аттестация</t>
  </si>
  <si>
    <t>6-9</t>
  </si>
  <si>
    <t xml:space="preserve">Объем программы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</si>
</sst>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6">
    <font>
      <sz val="11.000000"/>
      <color theme="1"/>
      <name val="Calibri"/>
      <scheme val="minor"/>
    </font>
    <font>
      <sz val="11.000000"/>
      <name val="Calibri"/>
      <scheme val="minor"/>
    </font>
    <font>
      <sz val="12.000000"/>
      <color theme="1"/>
      <name val="Times New Roman"/>
    </font>
    <font>
      <b/>
      <sz val="10.000000"/>
      <color theme="1"/>
      <name val="Times New Roman"/>
    </font>
    <font>
      <b/>
      <sz val="11.000000"/>
      <name val="Times New Roman"/>
    </font>
    <font>
      <i/>
      <sz val="11.000000"/>
      <color theme="1"/>
      <name val="Times New Roman"/>
    </font>
    <font>
      <i/>
      <sz val="11.000000"/>
      <name val="Times New Roman"/>
    </font>
    <font>
      <sz val="10.000000"/>
      <color theme="1"/>
      <name val="Calibri"/>
      <scheme val="minor"/>
    </font>
    <font>
      <i/>
      <u/>
      <sz val="11.000000"/>
      <name val="Times New Roman"/>
    </font>
    <font>
      <sz val="11.000000"/>
      <name val="Times New Roman"/>
    </font>
    <font>
      <sz val="7.000000"/>
      <name val="Times New Roman"/>
    </font>
    <font>
      <b/>
      <i/>
      <sz val="11.000000"/>
      <color theme="1"/>
      <name val="Times New Roman"/>
    </font>
    <font>
      <sz val="3.000000"/>
      <name val="Times New Roman"/>
    </font>
    <font>
      <sz val="11.000000"/>
      <color theme="1"/>
      <name val="Times New Roman"/>
    </font>
    <font>
      <sz val="10.000000"/>
      <name val="Times New Roman"/>
    </font>
    <font>
      <sz val="9.000000"/>
      <color rgb="FF1F1F1F"/>
      <name val="Times New Roman"/>
    </font>
    <font>
      <sz val="9.000000"/>
      <color rgb="FF1F1F1F"/>
      <name val="Calibri"/>
    </font>
    <font>
      <b/>
      <sz val="12.000000"/>
      <name val="Arial"/>
    </font>
    <font>
      <sz val="11.000000"/>
      <name val="Calibri"/>
    </font>
    <font>
      <b/>
      <sz val="9.000000"/>
      <name val="Arial"/>
    </font>
    <font>
      <sz val="11.000000"/>
      <name val="Arial"/>
    </font>
    <font>
      <b/>
      <sz val="10.000000"/>
      <name val="Arial"/>
    </font>
    <font>
      <sz val="9.000000"/>
      <name val="Arial"/>
    </font>
    <font>
      <sz val="9.000000"/>
      <color theme="1"/>
      <name val="Arial"/>
    </font>
    <font>
      <sz val="11.000000"/>
      <color theme="1"/>
      <name val="Arial"/>
    </font>
    <font>
      <sz val="11.000000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  <bgColor rgb="FFF2F2F2"/>
      </patternFill>
    </fill>
    <fill>
      <patternFill patternType="solid">
        <fgColor rgb="FFF7F7F7"/>
        <bgColor rgb="FFF7F7F7"/>
      </patternFill>
    </fill>
    <fill>
      <patternFill patternType="solid">
        <fgColor rgb="FF92D050"/>
      </patternFill>
    </fill>
  </fills>
  <borders count="3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rgb="FFB7C9D6"/>
      </left>
      <right style="medium">
        <color rgb="FFB7C9D6"/>
      </right>
      <top style="none"/>
      <bottom style="medium">
        <color rgb="FFB7C9D6"/>
      </bottom>
      <diagonal style="none"/>
    </border>
    <border>
      <left style="medium">
        <color rgb="FFB7C9D6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18">
    <xf fontId="0" fillId="0" borderId="0" numFmtId="0" xfId="0"/>
    <xf fontId="1" fillId="0" borderId="0" numFmtId="0" xfId="1" applyFont="1"/>
    <xf fontId="2" fillId="0" borderId="0" numFmtId="0" xfId="1" applyFont="1" applyAlignment="1">
      <alignment horizontal="right" indent="15" vertical="center"/>
    </xf>
    <xf fontId="2" fillId="0" borderId="0" numFmtId="0" xfId="1" applyFont="1" applyAlignment="1">
      <alignment horizontal="right" vertical="center"/>
    </xf>
    <xf fontId="3" fillId="0" borderId="0" numFmtId="0" xfId="1" applyFont="1" applyAlignment="1">
      <alignment horizontal="center" vertical="center"/>
    </xf>
    <xf fontId="4" fillId="0" borderId="0" numFmtId="0" xfId="1" applyFont="1" applyAlignment="1">
      <alignment horizontal="center" vertical="center"/>
    </xf>
    <xf fontId="5" fillId="0" borderId="0" numFmtId="0" xfId="1" applyFont="1" applyAlignment="1">
      <alignment horizontal="center" vertical="center"/>
    </xf>
    <xf fontId="4" fillId="0" borderId="0" numFmtId="0" xfId="1" applyFont="1" applyAlignment="1">
      <alignment horizontal="right" vertical="center"/>
    </xf>
    <xf fontId="6" fillId="0" borderId="0" numFmtId="0" xfId="1" applyFont="1" applyAlignment="1">
      <alignment horizontal="left" vertical="center"/>
    </xf>
    <xf fontId="4" fillId="0" borderId="0" numFmtId="0" xfId="1" applyFont="1" applyAlignment="1">
      <alignment horizontal="left" vertical="center"/>
    </xf>
    <xf fontId="7" fillId="0" borderId="0" numFmtId="0" xfId="1" applyFont="1" applyAlignment="1">
      <alignment horizontal="center"/>
    </xf>
    <xf fontId="8" fillId="0" borderId="0" numFmtId="0" xfId="1" applyFont="1" applyAlignment="1">
      <alignment horizontal="left" vertical="center"/>
    </xf>
    <xf fontId="9" fillId="0" borderId="0" numFmtId="0" xfId="1" applyFont="1" applyAlignment="1">
      <alignment horizontal="right" vertical="center"/>
    </xf>
    <xf fontId="9" fillId="0" borderId="0" numFmtId="0" xfId="1" applyFont="1" applyAlignment="1">
      <alignment horizontal="left" vertical="center"/>
    </xf>
    <xf fontId="7" fillId="0" borderId="0" numFmtId="0" xfId="1" applyFont="1" applyAlignment="1">
      <alignment vertical="center" wrapText="1"/>
    </xf>
    <xf fontId="10" fillId="0" borderId="0" numFmtId="0" xfId="1" applyFont="1" applyAlignment="1">
      <alignment horizontal="center" vertical="center"/>
    </xf>
    <xf fontId="9" fillId="0" borderId="0" numFmtId="0" xfId="1" applyFont="1" applyAlignment="1">
      <alignment horizontal="center" vertical="center"/>
    </xf>
    <xf fontId="11" fillId="0" borderId="0" numFmtId="0" xfId="1" applyFont="1" applyAlignment="1">
      <alignment horizontal="center" vertical="center" wrapText="1"/>
    </xf>
    <xf fontId="12" fillId="0" borderId="0" numFmtId="0" xfId="1" applyFont="1" applyAlignment="1">
      <alignment horizontal="center" vertical="center"/>
    </xf>
    <xf fontId="4" fillId="0" borderId="0" numFmtId="0" xfId="1" applyFont="1" applyAlignment="1">
      <alignment vertical="center"/>
    </xf>
    <xf fontId="13" fillId="0" borderId="0" numFmtId="0" xfId="1" applyFont="1" applyAlignment="1">
      <alignment horizontal="left" indent="3" vertical="center"/>
    </xf>
    <xf fontId="14" fillId="0" borderId="1" numFmtId="0" xfId="1" applyFont="1" applyBorder="1" applyAlignment="1">
      <alignment horizontal="center" vertical="center" wrapText="1"/>
    </xf>
    <xf fontId="15" fillId="2" borderId="1" numFmtId="0" xfId="1" applyFont="1" applyFill="1" applyBorder="1" applyAlignment="1">
      <alignment horizontal="center" wrapText="1"/>
    </xf>
    <xf fontId="15" fillId="2" borderId="1" numFmtId="0" xfId="1" applyFont="1" applyFill="1" applyBorder="1" applyAlignment="1">
      <alignment wrapText="1"/>
    </xf>
    <xf fontId="15" fillId="2" borderId="1" numFmtId="0" xfId="1" applyFont="1" applyFill="1" applyBorder="1" applyAlignment="1">
      <alignment vertical="center"/>
    </xf>
    <xf fontId="16" fillId="2" borderId="2" numFmtId="0" xfId="1" applyFont="1" applyFill="1" applyBorder="1" applyAlignment="1">
      <alignment horizontal="center" wrapText="1"/>
    </xf>
    <xf fontId="0" fillId="0" borderId="3" numFmtId="0" xfId="1" applyBorder="1" applyAlignment="1">
      <alignment vertical="center" wrapText="1"/>
    </xf>
    <xf fontId="0" fillId="0" borderId="4" numFmtId="0" xfId="1" applyBorder="1" applyAlignment="1">
      <alignment vertical="center" wrapText="1"/>
    </xf>
    <xf fontId="17" fillId="2" borderId="5" numFmtId="0" xfId="1" applyFont="1" applyFill="1" applyBorder="1" applyAlignment="1">
      <alignment horizontal="left" vertical="center" wrapText="1"/>
    </xf>
    <xf fontId="17" fillId="2" borderId="6" numFmtId="0" xfId="1" applyFont="1" applyFill="1" applyBorder="1" applyAlignment="1">
      <alignment horizontal="left" vertical="center" wrapText="1"/>
    </xf>
    <xf fontId="17" fillId="2" borderId="7" numFmtId="0" xfId="1" applyFont="1" applyFill="1" applyBorder="1" applyAlignment="1">
      <alignment horizontal="left" vertical="center" wrapText="1"/>
    </xf>
    <xf fontId="18" fillId="0" borderId="0" numFmtId="0" xfId="1" applyFont="1"/>
    <xf fontId="19" fillId="2" borderId="8" numFmtId="0" xfId="1" applyFont="1" applyFill="1" applyBorder="1" applyAlignment="1">
      <alignment horizontal="center" vertical="center" wrapText="1"/>
    </xf>
    <xf fontId="19" fillId="2" borderId="9" numFmtId="0" xfId="1" applyFont="1" applyFill="1" applyBorder="1" applyAlignment="1">
      <alignment horizontal="center" vertical="center" wrapText="1"/>
    </xf>
    <xf fontId="19" fillId="2" borderId="5" numFmtId="0" xfId="1" applyFont="1" applyFill="1" applyBorder="1" applyAlignment="1">
      <alignment horizontal="center" vertical="center" wrapText="1"/>
    </xf>
    <xf fontId="20" fillId="0" borderId="6" numFmtId="0" xfId="1" applyFont="1" applyBorder="1"/>
    <xf fontId="20" fillId="0" borderId="7" numFmtId="0" xfId="1" applyFont="1" applyBorder="1"/>
    <xf fontId="20" fillId="0" borderId="10" numFmtId="0" xfId="1" applyFont="1" applyBorder="1"/>
    <xf fontId="19" fillId="3" borderId="9" numFmtId="0" xfId="1" applyFont="1" applyFill="1" applyBorder="1" applyAlignment="1">
      <alignment horizontal="center" vertical="center" wrapText="1"/>
    </xf>
    <xf fontId="21" fillId="4" borderId="5" numFmtId="0" xfId="1" applyFont="1" applyFill="1" applyBorder="1" applyAlignment="1">
      <alignment horizontal="center" vertical="center" wrapText="1"/>
    </xf>
    <xf fontId="19" fillId="5" borderId="5" numFmtId="0" xfId="1" applyFont="1" applyFill="1" applyBorder="1" applyAlignment="1">
      <alignment horizontal="center" vertical="center" wrapText="1"/>
    </xf>
    <xf fontId="22" fillId="0" borderId="11" numFmtId="0" xfId="1" applyFont="1" applyBorder="1" applyAlignment="1">
      <alignment horizontal="center" vertical="center" wrapText="1"/>
    </xf>
    <xf fontId="22" fillId="2" borderId="1" numFmtId="0" xfId="1" applyFont="1" applyFill="1" applyBorder="1" applyAlignment="1">
      <alignment horizontal="center" vertical="center" wrapText="1"/>
    </xf>
    <xf fontId="22" fillId="0" borderId="1" numFmtId="0" xfId="1" applyFont="1" applyBorder="1" applyAlignment="1">
      <alignment horizontal="left" vertical="center" wrapText="1"/>
    </xf>
    <xf fontId="22" fillId="0" borderId="1" numFmtId="0" xfId="1" applyFont="1" applyBorder="1" applyAlignment="1">
      <alignment horizontal="center" vertical="center" wrapText="1"/>
    </xf>
    <xf fontId="22" fillId="3" borderId="1" numFmtId="0" xfId="1" applyFont="1" applyFill="1" applyBorder="1" applyAlignment="1">
      <alignment horizontal="center" vertical="center" wrapText="1"/>
    </xf>
    <xf fontId="20" fillId="0" borderId="12" numFmtId="0" xfId="1" applyFont="1" applyBorder="1"/>
    <xf fontId="20" fillId="0" borderId="13" numFmtId="0" xfId="1" applyFont="1" applyBorder="1"/>
    <xf fontId="19" fillId="6" borderId="14" numFmtId="0" xfId="1" applyFont="1" applyFill="1" applyBorder="1" applyAlignment="1">
      <alignment horizontal="center" vertical="center" wrapText="1"/>
    </xf>
    <xf fontId="20" fillId="0" borderId="15" numFmtId="0" xfId="1" applyFont="1" applyBorder="1"/>
    <xf fontId="20" fillId="0" borderId="16" numFmtId="0" xfId="1" applyFont="1" applyBorder="1"/>
    <xf fontId="19" fillId="7" borderId="14" numFmtId="0" xfId="1" applyFont="1" applyFill="1" applyBorder="1" applyAlignment="1">
      <alignment horizontal="center" vertical="center" wrapText="1"/>
    </xf>
    <xf fontId="22" fillId="0" borderId="17" numFmtId="0" xfId="1" applyFont="1" applyBorder="1" applyAlignment="1">
      <alignment horizontal="center" vertical="center" wrapText="1"/>
    </xf>
    <xf fontId="20" fillId="0" borderId="18" numFmtId="0" xfId="1" applyFont="1" applyBorder="1"/>
    <xf fontId="20" fillId="0" borderId="19" numFmtId="0" xfId="1" applyFont="1" applyBorder="1"/>
    <xf fontId="20" fillId="0" borderId="20" numFmtId="0" xfId="1" applyFont="1" applyBorder="1"/>
    <xf fontId="20" fillId="0" borderId="21" numFmtId="0" xfId="1" applyFont="1" applyBorder="1"/>
    <xf fontId="20" fillId="0" borderId="22" numFmtId="0" xfId="1" applyFont="1" applyBorder="1"/>
    <xf fontId="20" fillId="0" borderId="23" numFmtId="0" xfId="1" applyFont="1" applyBorder="1"/>
    <xf fontId="20" fillId="0" borderId="24" numFmtId="0" xfId="1" applyFont="1" applyBorder="1"/>
    <xf fontId="19" fillId="8" borderId="14" numFmtId="0" xfId="1" applyFont="1" applyFill="1" applyBorder="1" applyAlignment="1">
      <alignment horizontal="center" vertical="center" wrapText="1"/>
    </xf>
    <xf fontId="23" fillId="0" borderId="1" numFmtId="0" xfId="0" applyFont="1" applyBorder="1" applyAlignment="1">
      <alignment horizontal="center" vertical="center" wrapText="1"/>
    </xf>
    <xf fontId="22" fillId="0" borderId="12" numFmtId="0" xfId="1" applyFont="1" applyBorder="1" applyAlignment="1">
      <alignment horizontal="center" vertical="center" wrapText="1"/>
    </xf>
    <xf fontId="22" fillId="3" borderId="12" numFmtId="0" xfId="1" applyFont="1" applyFill="1" applyBorder="1" applyAlignment="1">
      <alignment horizontal="center" vertical="center" wrapText="1"/>
    </xf>
    <xf fontId="23" fillId="2" borderId="1" numFmtId="0" xfId="0" applyFont="1" applyFill="1" applyBorder="1" applyAlignment="1">
      <alignment horizontal="center" vertical="center" wrapText="1"/>
    </xf>
    <xf fontId="22" fillId="0" borderId="16" numFmtId="0" xfId="1" applyFont="1" applyBorder="1" applyAlignment="1">
      <alignment horizontal="left" vertical="center" wrapText="1"/>
    </xf>
    <xf fontId="24" fillId="2" borderId="1" numFmtId="0" xfId="0" applyFont="1" applyFill="1" applyBorder="1" applyAlignment="1">
      <alignment vertical="center" wrapText="1"/>
    </xf>
    <xf fontId="20" fillId="0" borderId="0" numFmtId="0" xfId="1" applyFont="1"/>
    <xf fontId="23" fillId="9" borderId="1" numFmtId="0" xfId="0" applyFont="1" applyFill="1" applyBorder="1" applyAlignment="1">
      <alignment horizontal="center" vertical="center" wrapText="1"/>
    </xf>
    <xf fontId="24" fillId="0" borderId="1" numFmtId="0" xfId="0" applyFont="1" applyBorder="1" applyAlignment="1">
      <alignment vertical="center" wrapText="1"/>
    </xf>
    <xf fontId="24" fillId="9" borderId="1" numFmtId="0" xfId="0" applyFont="1" applyFill="1" applyBorder="1" applyAlignment="1">
      <alignment vertical="center" wrapText="1"/>
    </xf>
    <xf fontId="23" fillId="0" borderId="1" numFmtId="0" xfId="0" applyFont="1" applyBorder="1" applyAlignment="1">
      <alignment horizontal="center" wrapText="1"/>
    </xf>
    <xf fontId="23" fillId="9" borderId="1" numFmtId="0" xfId="0" applyFont="1" applyFill="1" applyBorder="1" applyAlignment="1">
      <alignment horizontal="center" wrapText="1"/>
    </xf>
    <xf fontId="22" fillId="0" borderId="13" numFmtId="0" xfId="1" applyFont="1" applyBorder="1" applyAlignment="1">
      <alignment horizontal="center" vertical="center" wrapText="1"/>
    </xf>
    <xf fontId="22" fillId="3" borderId="13" numFmtId="0" xfId="1" applyFont="1" applyFill="1" applyBorder="1" applyAlignment="1">
      <alignment horizontal="center" vertical="center" wrapText="1"/>
    </xf>
    <xf fontId="19" fillId="8" borderId="14" numFmtId="0" xfId="1" applyFont="1" applyFill="1" applyBorder="1" applyAlignment="1">
      <alignment horizontal="left" vertical="center" wrapText="1"/>
    </xf>
    <xf fontId="19" fillId="8" borderId="15" numFmtId="0" xfId="1" applyFont="1" applyFill="1" applyBorder="1" applyAlignment="1">
      <alignment horizontal="left" vertical="center" wrapText="1"/>
    </xf>
    <xf fontId="19" fillId="8" borderId="16" numFmtId="0" xfId="1" applyFont="1" applyFill="1" applyBorder="1" applyAlignment="1">
      <alignment horizontal="left" vertical="center" wrapText="1"/>
    </xf>
    <xf fontId="22" fillId="2" borderId="17" numFmtId="0" xfId="1" applyFont="1" applyFill="1" applyBorder="1" applyAlignment="1">
      <alignment horizontal="center" vertical="center" wrapText="1"/>
    </xf>
    <xf fontId="22" fillId="2" borderId="18" numFmtId="0" xfId="1" applyFont="1" applyFill="1" applyBorder="1" applyAlignment="1">
      <alignment horizontal="center" vertical="center" wrapText="1"/>
    </xf>
    <xf fontId="22" fillId="2" borderId="19" numFmtId="0" xfId="1" applyFont="1" applyFill="1" applyBorder="1" applyAlignment="1">
      <alignment horizontal="center" vertical="center" wrapText="1"/>
    </xf>
    <xf fontId="22" fillId="0" borderId="18" numFmtId="0" xfId="1" applyFont="1" applyBorder="1" applyAlignment="1">
      <alignment horizontal="center" vertical="center" wrapText="1"/>
    </xf>
    <xf fontId="22" fillId="0" borderId="19" numFmtId="0" xfId="1" applyFont="1" applyBorder="1" applyAlignment="1">
      <alignment horizontal="center" vertical="center" wrapText="1"/>
    </xf>
    <xf fontId="22" fillId="2" borderId="22" numFmtId="0" xfId="1" applyFont="1" applyFill="1" applyBorder="1" applyAlignment="1">
      <alignment horizontal="center" vertical="center" wrapText="1"/>
    </xf>
    <xf fontId="22" fillId="2" borderId="23" numFmtId="0" xfId="1" applyFont="1" applyFill="1" applyBorder="1" applyAlignment="1">
      <alignment horizontal="center" vertical="center" wrapText="1"/>
    </xf>
    <xf fontId="22" fillId="2" borderId="24" numFmtId="0" xfId="1" applyFont="1" applyFill="1" applyBorder="1" applyAlignment="1">
      <alignment horizontal="center" vertical="center" wrapText="1"/>
    </xf>
    <xf fontId="22" fillId="0" borderId="22" numFmtId="0" xfId="1" applyFont="1" applyBorder="1" applyAlignment="1">
      <alignment horizontal="center" vertical="center" wrapText="1"/>
    </xf>
    <xf fontId="22" fillId="0" borderId="23" numFmtId="0" xfId="1" applyFont="1" applyBorder="1" applyAlignment="1">
      <alignment horizontal="center" vertical="center" wrapText="1"/>
    </xf>
    <xf fontId="22" fillId="0" borderId="24" numFmtId="0" xfId="1" applyFont="1" applyBorder="1" applyAlignment="1">
      <alignment horizontal="center" vertical="center" wrapText="1"/>
    </xf>
    <xf fontId="19" fillId="0" borderId="14" numFmtId="0" xfId="1" applyFont="1" applyBorder="1" applyAlignment="1">
      <alignment horizontal="center" vertical="center" wrapText="1"/>
    </xf>
    <xf fontId="19" fillId="0" borderId="15" numFmtId="0" xfId="1" applyFont="1" applyBorder="1" applyAlignment="1">
      <alignment horizontal="center" vertical="center" wrapText="1"/>
    </xf>
    <xf fontId="19" fillId="0" borderId="16" numFmtId="0" xfId="1" applyFont="1" applyBorder="1" applyAlignment="1">
      <alignment horizontal="center" vertical="center" wrapText="1"/>
    </xf>
    <xf fontId="22" fillId="2" borderId="14" numFmtId="0" xfId="1" applyFont="1" applyFill="1" applyBorder="1" applyAlignment="1">
      <alignment horizontal="center" vertical="center" wrapText="1"/>
    </xf>
    <xf fontId="22" fillId="2" borderId="15" numFmtId="0" xfId="1" applyFont="1" applyFill="1" applyBorder="1" applyAlignment="1">
      <alignment horizontal="center" vertical="center" wrapText="1"/>
    </xf>
    <xf fontId="22" fillId="2" borderId="16" numFmtId="0" xfId="1" applyFont="1" applyFill="1" applyBorder="1" applyAlignment="1">
      <alignment horizontal="center" vertical="center" wrapText="1"/>
    </xf>
    <xf fontId="22" fillId="2" borderId="25" numFmtId="0" xfId="1" applyFont="1" applyFill="1" applyBorder="1" applyAlignment="1">
      <alignment horizontal="center" vertical="center" wrapText="1"/>
    </xf>
    <xf fontId="22" fillId="2" borderId="26" numFmtId="0" xfId="1" applyFont="1" applyFill="1" applyBorder="1" applyAlignment="1">
      <alignment horizontal="center" vertical="center" wrapText="1"/>
    </xf>
    <xf fontId="22" fillId="2" borderId="27" numFmtId="0" xfId="1" applyFont="1" applyFill="1" applyBorder="1" applyAlignment="1">
      <alignment horizontal="center" vertical="center" wrapText="1"/>
    </xf>
    <xf fontId="22" fillId="0" borderId="28" numFmtId="0" xfId="1" applyFont="1" applyBorder="1" applyAlignment="1">
      <alignment horizontal="center" vertical="center" wrapText="1"/>
    </xf>
    <xf fontId="22" fillId="0" borderId="4" numFmtId="0" xfId="1" applyFont="1" applyBorder="1" applyAlignment="1">
      <alignment horizontal="center" vertical="center" wrapText="1"/>
    </xf>
    <xf fontId="22" fillId="0" borderId="29" numFmtId="0" xfId="1" applyFont="1" applyBorder="1" applyAlignment="1">
      <alignment horizontal="center" vertical="center" wrapText="1"/>
    </xf>
    <xf fontId="19" fillId="5" borderId="6" numFmtId="0" xfId="1" applyFont="1" applyFill="1" applyBorder="1" applyAlignment="1">
      <alignment horizontal="center" vertical="center" wrapText="1"/>
    </xf>
    <xf fontId="19" fillId="5" borderId="7" numFmtId="0" xfId="1" applyFont="1" applyFill="1" applyBorder="1" applyAlignment="1">
      <alignment horizontal="center" vertical="center" wrapText="1"/>
    </xf>
    <xf fontId="19" fillId="6" borderId="30" numFmtId="0" xfId="1" applyFont="1" applyFill="1" applyBorder="1" applyAlignment="1">
      <alignment horizontal="center" vertical="center" wrapText="1"/>
    </xf>
    <xf fontId="19" fillId="6" borderId="31" numFmtId="0" xfId="1" applyFont="1" applyFill="1" applyBorder="1" applyAlignment="1">
      <alignment horizontal="center" vertical="center" wrapText="1"/>
    </xf>
    <xf fontId="19" fillId="6" borderId="32" numFmtId="0" xfId="1" applyFont="1" applyFill="1" applyBorder="1" applyAlignment="1">
      <alignment horizontal="center" vertical="center" wrapText="1"/>
    </xf>
    <xf fontId="22" fillId="0" borderId="14" numFmtId="0" xfId="1" applyFont="1" applyBorder="1" applyAlignment="1">
      <alignment horizontal="center" vertical="center" wrapText="1"/>
    </xf>
    <xf fontId="22" fillId="0" borderId="15" numFmtId="0" xfId="1" applyFont="1" applyBorder="1" applyAlignment="1">
      <alignment horizontal="center" vertical="center" wrapText="1"/>
    </xf>
    <xf fontId="22" fillId="0" borderId="16" numFmtId="0" xfId="1" applyFont="1" applyBorder="1" applyAlignment="1">
      <alignment horizontal="center" vertical="center" wrapText="1"/>
    </xf>
    <xf fontId="22" fillId="0" borderId="20" numFmtId="0" xfId="1" applyFont="1" applyBorder="1" applyAlignment="1">
      <alignment horizontal="center" vertical="center" wrapText="1"/>
    </xf>
    <xf fontId="22" fillId="0" borderId="0" numFmtId="0" xfId="1" applyFont="1" applyAlignment="1">
      <alignment horizontal="center" vertical="center" wrapText="1"/>
    </xf>
    <xf fontId="22" fillId="0" borderId="21" numFmtId="0" xfId="1" applyFont="1" applyBorder="1" applyAlignment="1">
      <alignment horizontal="center" vertical="center" wrapText="1"/>
    </xf>
    <xf fontId="22" fillId="0" borderId="14" numFmtId="0" xfId="1" applyFont="1" applyBorder="1" applyAlignment="1">
      <alignment horizontal="left" vertical="center" wrapText="1"/>
    </xf>
    <xf fontId="22" fillId="0" borderId="15" numFmtId="0" xfId="1" applyFont="1" applyBorder="1" applyAlignment="1">
      <alignment horizontal="left" vertical="center" wrapText="1"/>
    </xf>
    <xf fontId="22" fillId="0" borderId="14" numFmtId="49" xfId="1" applyNumberFormat="1" applyFont="1" applyBorder="1" applyAlignment="1">
      <alignment horizontal="center" vertical="center" wrapText="1"/>
    </xf>
    <xf fontId="22" fillId="0" borderId="15" numFmtId="49" xfId="1" applyNumberFormat="1" applyFont="1" applyBorder="1" applyAlignment="1">
      <alignment horizontal="center" vertical="center" wrapText="1"/>
    </xf>
    <xf fontId="22" fillId="0" borderId="16" numFmtId="49" xfId="1" applyNumberFormat="1" applyFont="1" applyBorder="1" applyAlignment="1">
      <alignment horizontal="center" vertical="center" wrapText="1"/>
    </xf>
    <xf fontId="25" fillId="0" borderId="0" numFmtId="0" xfId="1" applyFont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339" zoomScale="90" workbookViewId="0">
      <selection activeCell="G173" activeCellId="0" sqref="G173"/>
    </sheetView>
  </sheetViews>
  <sheetFormatPr defaultColWidth="14" defaultRowHeight="15" customHeight="1"/>
  <cols>
    <col customWidth="1" min="1" max="1" style="1" width="14.77734375"/>
    <col customWidth="1" min="2" max="2" style="1" width="11.88671875"/>
    <col customWidth="1" min="3" max="3" style="1" width="26"/>
    <col customWidth="1" min="4" max="4" style="1" width="41.109375"/>
    <col customWidth="1" min="5" max="5" style="1" width="19.44140625"/>
    <col customWidth="1" min="6" max="7" style="1" width="9.6640625"/>
    <col customWidth="1" min="8" max="13" style="1" width="10.77734375"/>
    <col customWidth="1" min="14" max="14" style="1" width="11.88671875"/>
    <col customWidth="1" min="15" max="16" style="1" width="10.77734375"/>
    <col customWidth="1" min="17" max="17" style="1" width="11.88671875"/>
    <col customWidth="1" min="18" max="18" style="1" width="10.77734375"/>
    <col customWidth="1" min="19" max="19" style="1" width="11.88671875"/>
    <col customWidth="1" min="20" max="20" style="1" width="10.77734375"/>
    <col customWidth="1" min="21" max="21" style="1" width="13.5546875"/>
    <col min="22" max="16384" style="1" width="14"/>
  </cols>
  <sheetData>
    <row r="1" ht="15.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.6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.6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.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4.4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14.4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14.4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14.4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4.4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4.4">
      <c r="A12" s="7" t="s">
        <v>9</v>
      </c>
      <c r="B12" s="7"/>
      <c r="C12" s="7"/>
      <c r="D12" s="7"/>
      <c r="E12" s="7"/>
      <c r="F12" s="8" t="s">
        <v>10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4.4">
      <c r="A13" s="7" t="s">
        <v>11</v>
      </c>
      <c r="B13" s="7"/>
      <c r="C13" s="7"/>
      <c r="D13" s="7"/>
      <c r="E13" s="7"/>
      <c r="F13" s="8" t="s">
        <v>12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4.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4.4">
      <c r="A15" s="7" t="s">
        <v>13</v>
      </c>
      <c r="B15" s="7"/>
      <c r="C15" s="7"/>
      <c r="D15" s="7"/>
      <c r="E15" s="7"/>
      <c r="F15" s="7"/>
      <c r="G15" s="7"/>
      <c r="H15" s="7"/>
      <c r="I15" s="7"/>
      <c r="J15" s="11" t="s">
        <v>14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4.4">
      <c r="A16" s="7" t="s">
        <v>15</v>
      </c>
      <c r="B16" s="7"/>
      <c r="C16" s="7"/>
      <c r="D16" s="7"/>
      <c r="E16" s="7"/>
      <c r="F16" s="7"/>
      <c r="G16" s="7"/>
      <c r="H16" s="7"/>
      <c r="I16" s="7"/>
      <c r="J16" s="11" t="s">
        <v>16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14.4">
      <c r="A17" s="12" t="s">
        <v>17</v>
      </c>
      <c r="B17" s="12"/>
      <c r="C17" s="12"/>
      <c r="D17" s="12"/>
      <c r="E17" s="12"/>
      <c r="F17" s="12"/>
      <c r="G17" s="12"/>
      <c r="H17" s="12"/>
      <c r="I17" s="12"/>
      <c r="J17" s="11" t="s">
        <v>18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14.4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ht="14.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ht="14.4">
      <c r="A20" s="16" t="s">
        <v>19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14.4">
      <c r="A21" s="16" t="s">
        <v>20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14.4">
      <c r="A22" s="16" t="s">
        <v>21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14.4">
      <c r="A23" s="16"/>
      <c r="B23" s="16"/>
      <c r="C23" s="16"/>
      <c r="D23" s="16"/>
      <c r="E23" s="16"/>
      <c r="F23" s="16"/>
      <c r="G23" s="16"/>
      <c r="H23" s="16" t="s">
        <v>22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14.4">
      <c r="A24" s="16"/>
      <c r="B24" s="16"/>
      <c r="C24" s="16"/>
      <c r="D24" s="16"/>
      <c r="E24" s="16"/>
      <c r="F24" s="16"/>
      <c r="G24" s="16"/>
      <c r="H24" s="16" t="s">
        <v>23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ht="14.4">
      <c r="A25" s="17"/>
      <c r="B25" s="17"/>
      <c r="C25" s="17"/>
      <c r="D25" s="17"/>
      <c r="E25" s="17"/>
      <c r="F25" s="17"/>
      <c r="G25" s="17"/>
      <c r="H25" s="17" t="s">
        <v>24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14.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ht="14.4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ht="14.4">
      <c r="A28" s="16" t="s">
        <v>25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14.4">
      <c r="A29" s="19" t="s">
        <v>26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ht="14.4">
      <c r="A30" s="20" t="s">
        <v>27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4.4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26.399999999999999">
      <c r="A32" s="21" t="s">
        <v>28</v>
      </c>
      <c r="B32" s="21" t="s">
        <v>29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ht="14.4">
      <c r="A33" s="22" t="s">
        <v>30</v>
      </c>
      <c r="B33" s="23" t="s">
        <v>31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ht="14.4">
      <c r="A34" s="22" t="s">
        <v>32</v>
      </c>
      <c r="B34" s="23" t="s">
        <v>33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ht="14.4">
      <c r="A35" s="22" t="s">
        <v>34</v>
      </c>
      <c r="B35" s="23" t="s">
        <v>35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ht="14.4">
      <c r="A36" s="22" t="s">
        <v>36</v>
      </c>
      <c r="B36" s="23" t="s">
        <v>37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ht="14.4">
      <c r="A37" s="22" t="s">
        <v>38</v>
      </c>
      <c r="B37" s="23" t="s">
        <v>39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ht="14.4">
      <c r="A38" s="22" t="s">
        <v>40</v>
      </c>
      <c r="B38" s="23" t="s">
        <v>41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ht="14.4">
      <c r="A39" s="22" t="s">
        <v>42</v>
      </c>
      <c r="B39" s="23" t="s">
        <v>43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ht="14.4">
      <c r="A40" s="22" t="s">
        <v>44</v>
      </c>
      <c r="B40" s="23" t="s">
        <v>45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ht="14.4">
      <c r="A41" s="22" t="s">
        <v>46</v>
      </c>
      <c r="B41" s="23" t="s">
        <v>47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ht="14.4">
      <c r="A42" s="22" t="s">
        <v>48</v>
      </c>
      <c r="B42" s="23" t="s">
        <v>49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ht="14.4">
      <c r="A43" s="22" t="s">
        <v>50</v>
      </c>
      <c r="B43" s="24" t="s">
        <v>51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14.4">
      <c r="A44" s="22" t="s">
        <v>52</v>
      </c>
      <c r="B44" s="24" t="s">
        <v>53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14.4">
      <c r="A45" s="22" t="s">
        <v>54</v>
      </c>
      <c r="B45" s="24" t="s">
        <v>55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14.4">
      <c r="A46" s="22" t="s">
        <v>56</v>
      </c>
      <c r="B46" s="23" t="s">
        <v>57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ht="14.4">
      <c r="A47" s="22" t="s">
        <v>58</v>
      </c>
      <c r="B47" s="23" t="s">
        <v>59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ht="14.4">
      <c r="A48" s="22" t="s">
        <v>60</v>
      </c>
      <c r="B48" s="23" t="s">
        <v>61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ht="14.4">
      <c r="A49" s="22" t="s">
        <v>62</v>
      </c>
      <c r="B49" s="23" t="s">
        <v>63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ht="14.4">
      <c r="A50" s="22" t="s">
        <v>64</v>
      </c>
      <c r="B50" s="23" t="s">
        <v>65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ht="14.4">
      <c r="A51" s="22" t="s">
        <v>66</v>
      </c>
      <c r="B51" s="23" t="s">
        <v>67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ht="14.4">
      <c r="A52" s="22" t="s">
        <v>68</v>
      </c>
      <c r="B52" s="23" t="s">
        <v>69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ht="14.4">
      <c r="A53" s="22" t="s">
        <v>70</v>
      </c>
      <c r="B53" s="23" t="s">
        <v>71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ht="14.4">
      <c r="A54" s="22" t="s">
        <v>72</v>
      </c>
      <c r="B54" s="23" t="s">
        <v>73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ht="14.4">
      <c r="A55" s="22" t="s">
        <v>74</v>
      </c>
      <c r="B55" s="23" t="s">
        <v>75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ht="14.4">
      <c r="A56" s="22" t="s">
        <v>76</v>
      </c>
      <c r="B56" s="23" t="s">
        <v>77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ht="14.4">
      <c r="A57" s="22" t="s">
        <v>78</v>
      </c>
      <c r="B57" s="23" t="s">
        <v>79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ht="14.4">
      <c r="A58" s="22" t="s">
        <v>80</v>
      </c>
      <c r="B58" s="23" t="s">
        <v>81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ht="14.4">
      <c r="A59" s="22" t="s">
        <v>82</v>
      </c>
      <c r="B59" s="23" t="s">
        <v>83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ht="14.4">
      <c r="A60" s="22" t="s">
        <v>84</v>
      </c>
      <c r="B60" s="23" t="s">
        <v>85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ht="14.4">
      <c r="A61" s="22" t="s">
        <v>86</v>
      </c>
      <c r="B61" s="23" t="s">
        <v>87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ht="14.4">
      <c r="A62" s="22" t="s">
        <v>88</v>
      </c>
      <c r="B62" s="23" t="s">
        <v>89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ht="14.4">
      <c r="A63" s="22" t="s">
        <v>90</v>
      </c>
      <c r="B63" s="23" t="s">
        <v>91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ht="14.4">
      <c r="A64" s="22" t="s">
        <v>92</v>
      </c>
      <c r="B64" s="23" t="s">
        <v>93</v>
      </c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ht="14.4">
      <c r="A65" s="22" t="s">
        <v>94</v>
      </c>
      <c r="B65" s="23" t="s">
        <v>95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ht="14.4">
      <c r="A66" s="22" t="s">
        <v>96</v>
      </c>
      <c r="B66" s="23" t="s">
        <v>97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ht="14.4">
      <c r="A67" s="22" t="s">
        <v>98</v>
      </c>
      <c r="B67" s="23" t="s">
        <v>99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ht="14.4">
      <c r="A68" s="22" t="s">
        <v>100</v>
      </c>
      <c r="B68" s="23" t="s">
        <v>101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ht="14.4">
      <c r="A69" s="22" t="s">
        <v>102</v>
      </c>
      <c r="B69" s="23" t="s">
        <v>103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 ht="14.4">
      <c r="A70" s="22" t="s">
        <v>104</v>
      </c>
      <c r="B70" s="23" t="s">
        <v>105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ht="14.4">
      <c r="A71" s="22" t="s">
        <v>106</v>
      </c>
      <c r="B71" s="23" t="s">
        <v>107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 ht="14.4">
      <c r="A72" s="22" t="s">
        <v>108</v>
      </c>
      <c r="B72" s="23" t="s">
        <v>109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ht="14.4">
      <c r="A73" s="22" t="s">
        <v>110</v>
      </c>
      <c r="B73" s="23" t="s">
        <v>111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 ht="14.4">
      <c r="A74" s="22" t="s">
        <v>112</v>
      </c>
      <c r="B74" s="23" t="s">
        <v>113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 ht="14.4">
      <c r="A75" s="22" t="s">
        <v>114</v>
      </c>
      <c r="B75" s="23" t="s">
        <v>115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 ht="14.4">
      <c r="A76" s="22" t="s">
        <v>116</v>
      </c>
      <c r="B76" s="23" t="s">
        <v>117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 ht="14.4">
      <c r="A77" s="22" t="s">
        <v>118</v>
      </c>
      <c r="B77" s="23" t="s">
        <v>119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 ht="14.4">
      <c r="A78" s="22" t="s">
        <v>120</v>
      </c>
      <c r="B78" s="23" t="s">
        <v>121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  <row r="79" ht="14.4">
      <c r="A79" s="22" t="s">
        <v>122</v>
      </c>
      <c r="B79" s="23" t="s">
        <v>123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</row>
    <row r="80" ht="14.4">
      <c r="A80" s="22" t="s">
        <v>124</v>
      </c>
      <c r="B80" s="23" t="s">
        <v>125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</row>
    <row r="81" ht="14.4">
      <c r="A81" s="22" t="s">
        <v>126</v>
      </c>
      <c r="B81" s="23" t="s">
        <v>127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</row>
    <row r="82" ht="14.4">
      <c r="A82" s="25"/>
      <c r="B82" s="2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ht="15.6">
      <c r="A83" s="28" t="s">
        <v>128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30"/>
      <c r="U83" s="31"/>
    </row>
    <row r="84" ht="31.5" customHeight="1">
      <c r="A84" s="32" t="s">
        <v>129</v>
      </c>
      <c r="B84" s="33" t="s">
        <v>130</v>
      </c>
      <c r="C84" s="33" t="s">
        <v>28</v>
      </c>
      <c r="D84" s="33" t="s">
        <v>131</v>
      </c>
      <c r="E84" s="32" t="s">
        <v>132</v>
      </c>
      <c r="F84" s="34" t="s">
        <v>133</v>
      </c>
      <c r="G84" s="35"/>
      <c r="H84" s="35"/>
      <c r="I84" s="35"/>
      <c r="J84" s="35"/>
      <c r="K84" s="35"/>
      <c r="L84" s="35"/>
      <c r="M84" s="35"/>
      <c r="N84" s="36"/>
      <c r="O84" s="34" t="s">
        <v>134</v>
      </c>
      <c r="P84" s="35"/>
      <c r="Q84" s="35"/>
      <c r="R84" s="35"/>
      <c r="S84" s="36"/>
      <c r="T84" s="33" t="s">
        <v>135</v>
      </c>
      <c r="U84" s="31"/>
    </row>
    <row r="85" ht="31.5" customHeight="1">
      <c r="A85" s="37"/>
      <c r="B85" s="33" t="s">
        <v>136</v>
      </c>
      <c r="C85" s="33"/>
      <c r="D85" s="33" t="s">
        <v>137</v>
      </c>
      <c r="E85" s="37"/>
      <c r="F85" s="33" t="s">
        <v>138</v>
      </c>
      <c r="G85" s="33" t="s">
        <v>139</v>
      </c>
      <c r="H85" s="38" t="s">
        <v>140</v>
      </c>
      <c r="I85" s="33" t="s">
        <v>141</v>
      </c>
      <c r="J85" s="33" t="s">
        <v>142</v>
      </c>
      <c r="K85" s="33" t="s">
        <v>143</v>
      </c>
      <c r="L85" s="33" t="s">
        <v>144</v>
      </c>
      <c r="M85" s="33" t="s">
        <v>145</v>
      </c>
      <c r="N85" s="38" t="s">
        <v>146</v>
      </c>
      <c r="O85" s="33" t="s">
        <v>147</v>
      </c>
      <c r="P85" s="33" t="s">
        <v>148</v>
      </c>
      <c r="Q85" s="33" t="s">
        <v>149</v>
      </c>
      <c r="R85" s="33" t="s">
        <v>145</v>
      </c>
      <c r="S85" s="38" t="s">
        <v>146</v>
      </c>
      <c r="T85" s="33"/>
      <c r="U85" s="31"/>
    </row>
    <row r="86" ht="17.25" customHeight="1">
      <c r="A86" s="39" t="s">
        <v>150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6"/>
      <c r="U86" s="31"/>
    </row>
    <row r="87" ht="17.25" customHeight="1">
      <c r="A87" s="39" t="s">
        <v>151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6"/>
      <c r="U87" s="31"/>
    </row>
    <row r="88" ht="17.25" customHeight="1">
      <c r="A88" s="40" t="s">
        <v>152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6"/>
      <c r="U88" s="31"/>
    </row>
    <row r="89" ht="15.75" customHeight="1">
      <c r="A89" s="41" t="s">
        <v>153</v>
      </c>
      <c r="B89" s="41">
        <f>SUM(F89:S89)/36</f>
        <v>5</v>
      </c>
      <c r="C89" s="42" t="s">
        <v>154</v>
      </c>
      <c r="D89" s="43" t="s">
        <v>155</v>
      </c>
      <c r="E89" s="41" t="s">
        <v>156</v>
      </c>
      <c r="F89" s="44">
        <v>48</v>
      </c>
      <c r="G89" s="44">
        <v>0</v>
      </c>
      <c r="H89" s="45">
        <v>2</v>
      </c>
      <c r="I89" s="44">
        <v>42</v>
      </c>
      <c r="J89" s="44">
        <v>0</v>
      </c>
      <c r="K89" s="44">
        <v>6</v>
      </c>
      <c r="L89" s="44">
        <v>0</v>
      </c>
      <c r="M89" s="44">
        <v>0</v>
      </c>
      <c r="N89" s="45">
        <v>4</v>
      </c>
      <c r="O89" s="44">
        <v>0</v>
      </c>
      <c r="P89" s="44">
        <v>0</v>
      </c>
      <c r="Q89" s="44">
        <v>47</v>
      </c>
      <c r="R89" s="44">
        <v>0</v>
      </c>
      <c r="S89" s="45">
        <v>31</v>
      </c>
      <c r="T89" s="44">
        <v>44</v>
      </c>
      <c r="U89" s="31"/>
    </row>
    <row r="90" ht="15.75" customHeight="1">
      <c r="A90" s="46"/>
      <c r="B90" s="46"/>
      <c r="C90" s="42"/>
      <c r="D90" s="43" t="s">
        <v>157</v>
      </c>
      <c r="E90" s="46"/>
      <c r="F90" s="44"/>
      <c r="G90" s="44"/>
      <c r="H90" s="45"/>
      <c r="I90" s="44"/>
      <c r="J90" s="44"/>
      <c r="K90" s="44"/>
      <c r="L90" s="44"/>
      <c r="M90" s="44"/>
      <c r="N90" s="45"/>
      <c r="O90" s="44"/>
      <c r="P90" s="44"/>
      <c r="Q90" s="44"/>
      <c r="R90" s="44"/>
      <c r="S90" s="45"/>
      <c r="T90" s="44"/>
      <c r="U90" s="31"/>
    </row>
    <row r="91" ht="15.75" customHeight="1">
      <c r="A91" s="41" t="s">
        <v>153</v>
      </c>
      <c r="B91" s="41">
        <f>SUM(F91:S91)/36</f>
        <v>3</v>
      </c>
      <c r="C91" s="42" t="s">
        <v>158</v>
      </c>
      <c r="D91" s="43" t="s">
        <v>159</v>
      </c>
      <c r="E91" s="41" t="s">
        <v>160</v>
      </c>
      <c r="F91" s="44">
        <v>0</v>
      </c>
      <c r="G91" s="44">
        <v>0</v>
      </c>
      <c r="H91" s="45">
        <v>0</v>
      </c>
      <c r="I91" s="44">
        <v>56</v>
      </c>
      <c r="J91" s="44">
        <v>0</v>
      </c>
      <c r="K91" s="44">
        <v>0</v>
      </c>
      <c r="L91" s="44">
        <v>0</v>
      </c>
      <c r="M91" s="44">
        <v>6</v>
      </c>
      <c r="N91" s="45">
        <v>2</v>
      </c>
      <c r="O91" s="44">
        <v>0</v>
      </c>
      <c r="P91" s="44">
        <v>0</v>
      </c>
      <c r="Q91" s="44">
        <v>44</v>
      </c>
      <c r="R91" s="44">
        <v>0</v>
      </c>
      <c r="S91" s="45">
        <v>0</v>
      </c>
      <c r="T91" s="44">
        <v>56</v>
      </c>
      <c r="U91" s="31"/>
    </row>
    <row r="92" ht="15.75" customHeight="1">
      <c r="A92" s="46"/>
      <c r="B92" s="46"/>
      <c r="C92" s="42"/>
      <c r="D92" s="43" t="s">
        <v>161</v>
      </c>
      <c r="E92" s="46"/>
      <c r="F92" s="44"/>
      <c r="G92" s="44"/>
      <c r="H92" s="45"/>
      <c r="I92" s="44"/>
      <c r="J92" s="44"/>
      <c r="K92" s="44"/>
      <c r="L92" s="44"/>
      <c r="M92" s="44"/>
      <c r="N92" s="45"/>
      <c r="O92" s="44"/>
      <c r="P92" s="44"/>
      <c r="Q92" s="44"/>
      <c r="R92" s="44"/>
      <c r="S92" s="45"/>
      <c r="T92" s="44"/>
      <c r="U92" s="31"/>
    </row>
    <row r="93" ht="15.75" customHeight="1">
      <c r="A93" s="41" t="s">
        <v>153</v>
      </c>
      <c r="B93" s="41">
        <f>SUM(F93:S93)/36</f>
        <v>6</v>
      </c>
      <c r="C93" s="42" t="s">
        <v>162</v>
      </c>
      <c r="D93" s="43" t="s">
        <v>163</v>
      </c>
      <c r="E93" s="41" t="s">
        <v>156</v>
      </c>
      <c r="F93" s="44">
        <v>62</v>
      </c>
      <c r="G93" s="44">
        <v>0</v>
      </c>
      <c r="H93" s="45">
        <v>2</v>
      </c>
      <c r="I93" s="44">
        <v>60</v>
      </c>
      <c r="J93" s="44">
        <v>0</v>
      </c>
      <c r="K93" s="44">
        <v>4</v>
      </c>
      <c r="L93" s="44">
        <v>2</v>
      </c>
      <c r="M93" s="44">
        <v>0</v>
      </c>
      <c r="N93" s="45">
        <v>4</v>
      </c>
      <c r="O93" s="44">
        <v>0</v>
      </c>
      <c r="P93" s="44">
        <v>0</v>
      </c>
      <c r="Q93" s="44">
        <v>51</v>
      </c>
      <c r="R93" s="44">
        <v>0</v>
      </c>
      <c r="S93" s="45">
        <v>31</v>
      </c>
      <c r="T93" s="44">
        <v>62</v>
      </c>
      <c r="U93" s="31"/>
    </row>
    <row r="94" ht="15.75" customHeight="1">
      <c r="A94" s="46"/>
      <c r="B94" s="46"/>
      <c r="C94" s="42"/>
      <c r="D94" s="43" t="s">
        <v>164</v>
      </c>
      <c r="E94" s="46"/>
      <c r="F94" s="44"/>
      <c r="G94" s="44"/>
      <c r="H94" s="45"/>
      <c r="I94" s="44"/>
      <c r="J94" s="44"/>
      <c r="K94" s="44"/>
      <c r="L94" s="44"/>
      <c r="M94" s="44"/>
      <c r="N94" s="45"/>
      <c r="O94" s="44"/>
      <c r="P94" s="44"/>
      <c r="Q94" s="44"/>
      <c r="R94" s="44"/>
      <c r="S94" s="45"/>
      <c r="T94" s="44"/>
      <c r="U94" s="31"/>
    </row>
    <row r="95" ht="15.75" customHeight="1">
      <c r="A95" s="41" t="s">
        <v>153</v>
      </c>
      <c r="B95" s="41">
        <f>SUM(F95:S95)/36</f>
        <v>1</v>
      </c>
      <c r="C95" s="42" t="s">
        <v>62</v>
      </c>
      <c r="D95" s="43" t="s">
        <v>165</v>
      </c>
      <c r="E95" s="41" t="s">
        <v>160</v>
      </c>
      <c r="F95" s="44">
        <v>0</v>
      </c>
      <c r="G95" s="44">
        <v>0</v>
      </c>
      <c r="H95" s="45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5">
        <v>2</v>
      </c>
      <c r="O95" s="44">
        <v>0</v>
      </c>
      <c r="P95" s="44">
        <v>0</v>
      </c>
      <c r="Q95" s="44">
        <v>34</v>
      </c>
      <c r="R95" s="44">
        <v>0</v>
      </c>
      <c r="S95" s="45">
        <v>0</v>
      </c>
      <c r="T95" s="44">
        <v>0</v>
      </c>
      <c r="U95" s="31"/>
    </row>
    <row r="96" ht="15.75" customHeight="1">
      <c r="A96" s="46"/>
      <c r="B96" s="46"/>
      <c r="C96" s="42"/>
      <c r="D96" s="43" t="s">
        <v>166</v>
      </c>
      <c r="E96" s="46"/>
      <c r="F96" s="44"/>
      <c r="G96" s="44"/>
      <c r="H96" s="45"/>
      <c r="I96" s="44"/>
      <c r="J96" s="44"/>
      <c r="K96" s="44"/>
      <c r="L96" s="44"/>
      <c r="M96" s="44"/>
      <c r="N96" s="45"/>
      <c r="O96" s="44"/>
      <c r="P96" s="44"/>
      <c r="Q96" s="44"/>
      <c r="R96" s="44"/>
      <c r="S96" s="45"/>
      <c r="T96" s="44"/>
      <c r="U96" s="31"/>
    </row>
    <row r="97" ht="15.75" customHeight="1">
      <c r="A97" s="41" t="s">
        <v>153</v>
      </c>
      <c r="B97" s="41">
        <f>SUM(F97:S97)/36</f>
        <v>3</v>
      </c>
      <c r="C97" s="42" t="s">
        <v>167</v>
      </c>
      <c r="D97" s="43" t="s">
        <v>168</v>
      </c>
      <c r="E97" s="41" t="s">
        <v>169</v>
      </c>
      <c r="F97" s="44">
        <v>60</v>
      </c>
      <c r="G97" s="44">
        <v>0</v>
      </c>
      <c r="H97" s="45">
        <v>2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5">
        <v>2</v>
      </c>
      <c r="O97" s="44">
        <v>0</v>
      </c>
      <c r="P97" s="44">
        <v>0</v>
      </c>
      <c r="Q97" s="44">
        <v>20</v>
      </c>
      <c r="R97" s="44">
        <v>0</v>
      </c>
      <c r="S97" s="45">
        <v>24</v>
      </c>
      <c r="T97" s="44">
        <v>30</v>
      </c>
      <c r="U97" s="31"/>
    </row>
    <row r="98" ht="15.75" customHeight="1">
      <c r="A98" s="46"/>
      <c r="B98" s="46"/>
      <c r="C98" s="42"/>
      <c r="D98" s="43" t="s">
        <v>170</v>
      </c>
      <c r="E98" s="46"/>
      <c r="F98" s="44"/>
      <c r="G98" s="44"/>
      <c r="H98" s="45"/>
      <c r="I98" s="44"/>
      <c r="J98" s="44"/>
      <c r="K98" s="44"/>
      <c r="L98" s="44"/>
      <c r="M98" s="44"/>
      <c r="N98" s="45"/>
      <c r="O98" s="44"/>
      <c r="P98" s="44"/>
      <c r="Q98" s="44"/>
      <c r="R98" s="44"/>
      <c r="S98" s="45"/>
      <c r="T98" s="44"/>
      <c r="U98" s="31"/>
    </row>
    <row r="99" ht="15.75" customHeight="1">
      <c r="A99" s="41" t="s">
        <v>153</v>
      </c>
      <c r="B99" s="41">
        <f>SUM(F99:S99)/36</f>
        <v>1</v>
      </c>
      <c r="C99" s="42" t="s">
        <v>42</v>
      </c>
      <c r="D99" s="43" t="s">
        <v>171</v>
      </c>
      <c r="E99" s="41" t="s">
        <v>172</v>
      </c>
      <c r="F99" s="44">
        <v>4</v>
      </c>
      <c r="G99" s="44">
        <v>0</v>
      </c>
      <c r="H99" s="45">
        <v>0</v>
      </c>
      <c r="I99" s="44">
        <v>32</v>
      </c>
      <c r="J99" s="44">
        <v>0</v>
      </c>
      <c r="K99" s="44">
        <v>0</v>
      </c>
      <c r="L99" s="44">
        <v>0</v>
      </c>
      <c r="M99" s="44">
        <v>0</v>
      </c>
      <c r="N99" s="45">
        <v>0</v>
      </c>
      <c r="O99" s="44">
        <v>0</v>
      </c>
      <c r="P99" s="44">
        <v>0</v>
      </c>
      <c r="Q99" s="44">
        <v>0</v>
      </c>
      <c r="R99" s="44">
        <v>0</v>
      </c>
      <c r="S99" s="45">
        <v>0</v>
      </c>
      <c r="T99" s="44">
        <v>20</v>
      </c>
      <c r="U99" s="31"/>
    </row>
    <row r="100" ht="15.75" customHeight="1">
      <c r="A100" s="47"/>
      <c r="B100" s="47"/>
      <c r="C100" s="42"/>
      <c r="D100" s="43" t="s">
        <v>173</v>
      </c>
      <c r="E100" s="47"/>
      <c r="F100" s="44"/>
      <c r="G100" s="44"/>
      <c r="H100" s="45"/>
      <c r="I100" s="44"/>
      <c r="J100" s="44"/>
      <c r="K100" s="44"/>
      <c r="L100" s="44"/>
      <c r="M100" s="44"/>
      <c r="N100" s="45"/>
      <c r="O100" s="44"/>
      <c r="P100" s="44"/>
      <c r="Q100" s="44"/>
      <c r="R100" s="44"/>
      <c r="S100" s="45"/>
      <c r="T100" s="44"/>
      <c r="U100" s="31"/>
    </row>
    <row r="101" ht="15.75" customHeight="1">
      <c r="A101" s="47"/>
      <c r="B101" s="47"/>
      <c r="C101" s="42" t="s">
        <v>42</v>
      </c>
      <c r="D101" s="43" t="s">
        <v>174</v>
      </c>
      <c r="E101" s="47"/>
      <c r="F101" s="44">
        <v>4</v>
      </c>
      <c r="G101" s="44">
        <v>0</v>
      </c>
      <c r="H101" s="45">
        <v>0</v>
      </c>
      <c r="I101" s="44">
        <v>32</v>
      </c>
      <c r="J101" s="44">
        <v>0</v>
      </c>
      <c r="K101" s="44">
        <v>0</v>
      </c>
      <c r="L101" s="44">
        <v>0</v>
      </c>
      <c r="M101" s="44">
        <v>0</v>
      </c>
      <c r="N101" s="45">
        <v>0</v>
      </c>
      <c r="O101" s="44">
        <v>0</v>
      </c>
      <c r="P101" s="44">
        <v>0</v>
      </c>
      <c r="Q101" s="44">
        <v>0</v>
      </c>
      <c r="R101" s="44">
        <v>0</v>
      </c>
      <c r="S101" s="45">
        <v>0</v>
      </c>
      <c r="T101" s="44">
        <v>20</v>
      </c>
      <c r="U101" s="31"/>
    </row>
    <row r="102" ht="15.75" customHeight="1">
      <c r="A102" s="47"/>
      <c r="B102" s="47"/>
      <c r="C102" s="42"/>
      <c r="D102" s="43" t="s">
        <v>173</v>
      </c>
      <c r="E102" s="47"/>
      <c r="F102" s="44"/>
      <c r="G102" s="44"/>
      <c r="H102" s="45"/>
      <c r="I102" s="44"/>
      <c r="J102" s="44"/>
      <c r="K102" s="44"/>
      <c r="L102" s="44"/>
      <c r="M102" s="44"/>
      <c r="N102" s="45"/>
      <c r="O102" s="44"/>
      <c r="P102" s="44"/>
      <c r="Q102" s="44"/>
      <c r="R102" s="44"/>
      <c r="S102" s="45"/>
      <c r="T102" s="44"/>
      <c r="U102" s="31"/>
    </row>
    <row r="103" ht="15.75" customHeight="1">
      <c r="A103" s="47"/>
      <c r="B103" s="47"/>
      <c r="C103" s="42" t="s">
        <v>42</v>
      </c>
      <c r="D103" s="43" t="s">
        <v>175</v>
      </c>
      <c r="E103" s="47"/>
      <c r="F103" s="44">
        <v>4</v>
      </c>
      <c r="G103" s="44">
        <v>0</v>
      </c>
      <c r="H103" s="45">
        <v>0</v>
      </c>
      <c r="I103" s="44">
        <v>32</v>
      </c>
      <c r="J103" s="44">
        <v>0</v>
      </c>
      <c r="K103" s="44">
        <v>0</v>
      </c>
      <c r="L103" s="44">
        <v>0</v>
      </c>
      <c r="M103" s="44">
        <v>0</v>
      </c>
      <c r="N103" s="45">
        <v>0</v>
      </c>
      <c r="O103" s="44">
        <v>0</v>
      </c>
      <c r="P103" s="44">
        <v>0</v>
      </c>
      <c r="Q103" s="44">
        <v>0</v>
      </c>
      <c r="R103" s="44">
        <v>0</v>
      </c>
      <c r="S103" s="45">
        <v>0</v>
      </c>
      <c r="T103" s="44">
        <v>20</v>
      </c>
      <c r="U103" s="31"/>
    </row>
    <row r="104" ht="15.75" customHeight="1">
      <c r="A104" s="47"/>
      <c r="B104" s="47"/>
      <c r="C104" s="42"/>
      <c r="D104" s="43" t="s">
        <v>173</v>
      </c>
      <c r="E104" s="47"/>
      <c r="F104" s="44"/>
      <c r="G104" s="44"/>
      <c r="H104" s="45"/>
      <c r="I104" s="44"/>
      <c r="J104" s="44"/>
      <c r="K104" s="44"/>
      <c r="L104" s="44"/>
      <c r="M104" s="44"/>
      <c r="N104" s="45"/>
      <c r="O104" s="44"/>
      <c r="P104" s="44"/>
      <c r="Q104" s="44"/>
      <c r="R104" s="44"/>
      <c r="S104" s="45"/>
      <c r="T104" s="44"/>
      <c r="U104" s="31"/>
    </row>
    <row r="105" ht="15.75" customHeight="1">
      <c r="A105" s="47"/>
      <c r="B105" s="47"/>
      <c r="C105" s="42" t="s">
        <v>42</v>
      </c>
      <c r="D105" s="43" t="s">
        <v>176</v>
      </c>
      <c r="E105" s="47"/>
      <c r="F105" s="44">
        <v>0</v>
      </c>
      <c r="G105" s="44">
        <v>0</v>
      </c>
      <c r="H105" s="45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5">
        <v>0</v>
      </c>
      <c r="O105" s="44">
        <v>36</v>
      </c>
      <c r="P105" s="44">
        <v>0</v>
      </c>
      <c r="Q105" s="44">
        <v>0</v>
      </c>
      <c r="R105" s="44">
        <v>0</v>
      </c>
      <c r="S105" s="45">
        <v>0</v>
      </c>
      <c r="T105" s="44">
        <v>20</v>
      </c>
      <c r="U105" s="31"/>
    </row>
    <row r="106" ht="15.75" customHeight="1">
      <c r="A106" s="47"/>
      <c r="B106" s="47"/>
      <c r="C106" s="42"/>
      <c r="D106" s="43" t="s">
        <v>173</v>
      </c>
      <c r="E106" s="47"/>
      <c r="F106" s="44"/>
      <c r="G106" s="44"/>
      <c r="H106" s="45"/>
      <c r="I106" s="44"/>
      <c r="J106" s="44"/>
      <c r="K106" s="44"/>
      <c r="L106" s="44"/>
      <c r="M106" s="44"/>
      <c r="N106" s="45"/>
      <c r="O106" s="44"/>
      <c r="P106" s="44"/>
      <c r="Q106" s="44"/>
      <c r="R106" s="44"/>
      <c r="S106" s="45"/>
      <c r="T106" s="44"/>
      <c r="U106" s="31"/>
    </row>
    <row r="107" ht="15.75" customHeight="1">
      <c r="A107" s="47"/>
      <c r="B107" s="47"/>
      <c r="C107" s="42" t="s">
        <v>42</v>
      </c>
      <c r="D107" s="43" t="s">
        <v>177</v>
      </c>
      <c r="E107" s="47"/>
      <c r="F107" s="44">
        <v>4</v>
      </c>
      <c r="G107" s="44">
        <v>0</v>
      </c>
      <c r="H107" s="45">
        <v>0</v>
      </c>
      <c r="I107" s="44">
        <v>32</v>
      </c>
      <c r="J107" s="44">
        <v>0</v>
      </c>
      <c r="K107" s="44">
        <v>0</v>
      </c>
      <c r="L107" s="44">
        <v>0</v>
      </c>
      <c r="M107" s="44">
        <v>0</v>
      </c>
      <c r="N107" s="45">
        <v>0</v>
      </c>
      <c r="O107" s="44">
        <v>0</v>
      </c>
      <c r="P107" s="44">
        <v>0</v>
      </c>
      <c r="Q107" s="44">
        <v>0</v>
      </c>
      <c r="R107" s="44">
        <v>0</v>
      </c>
      <c r="S107" s="45">
        <v>0</v>
      </c>
      <c r="T107" s="44">
        <v>20</v>
      </c>
      <c r="U107" s="31"/>
    </row>
    <row r="108" ht="15.75" customHeight="1">
      <c r="A108" s="46"/>
      <c r="B108" s="46"/>
      <c r="C108" s="42"/>
      <c r="D108" s="43" t="s">
        <v>173</v>
      </c>
      <c r="E108" s="46"/>
      <c r="F108" s="44"/>
      <c r="G108" s="44"/>
      <c r="H108" s="45"/>
      <c r="I108" s="44"/>
      <c r="J108" s="44"/>
      <c r="K108" s="44"/>
      <c r="L108" s="44"/>
      <c r="M108" s="44"/>
      <c r="N108" s="45"/>
      <c r="O108" s="44"/>
      <c r="P108" s="44"/>
      <c r="Q108" s="44"/>
      <c r="R108" s="44"/>
      <c r="S108" s="45"/>
      <c r="T108" s="44"/>
      <c r="U108" s="31"/>
    </row>
    <row r="109" ht="15.75" customHeight="1">
      <c r="A109" s="41" t="s">
        <v>153</v>
      </c>
      <c r="B109" s="41">
        <f>SUM(F109:S109)/36</f>
        <v>4</v>
      </c>
      <c r="C109" s="42" t="s">
        <v>178</v>
      </c>
      <c r="D109" s="43" t="s">
        <v>179</v>
      </c>
      <c r="E109" s="41" t="s">
        <v>156</v>
      </c>
      <c r="F109" s="44">
        <v>30</v>
      </c>
      <c r="G109" s="44">
        <v>0</v>
      </c>
      <c r="H109" s="45">
        <v>2</v>
      </c>
      <c r="I109" s="44">
        <v>28</v>
      </c>
      <c r="J109" s="44">
        <v>0</v>
      </c>
      <c r="K109" s="44">
        <v>4</v>
      </c>
      <c r="L109" s="44">
        <v>0</v>
      </c>
      <c r="M109" s="44">
        <v>0</v>
      </c>
      <c r="N109" s="45">
        <v>4</v>
      </c>
      <c r="O109" s="44">
        <v>0</v>
      </c>
      <c r="P109" s="44">
        <v>0</v>
      </c>
      <c r="Q109" s="44">
        <v>45</v>
      </c>
      <c r="R109" s="44">
        <v>0</v>
      </c>
      <c r="S109" s="45">
        <v>31</v>
      </c>
      <c r="T109" s="44">
        <v>30</v>
      </c>
      <c r="U109" s="31"/>
    </row>
    <row r="110" ht="15.75" customHeight="1">
      <c r="A110" s="46"/>
      <c r="B110" s="46"/>
      <c r="C110" s="42"/>
      <c r="D110" s="43" t="s">
        <v>180</v>
      </c>
      <c r="E110" s="46"/>
      <c r="F110" s="44"/>
      <c r="G110" s="44"/>
      <c r="H110" s="45"/>
      <c r="I110" s="44"/>
      <c r="J110" s="44"/>
      <c r="K110" s="44"/>
      <c r="L110" s="44"/>
      <c r="M110" s="44"/>
      <c r="N110" s="45"/>
      <c r="O110" s="44"/>
      <c r="P110" s="44"/>
      <c r="Q110" s="44"/>
      <c r="R110" s="44"/>
      <c r="S110" s="45"/>
      <c r="T110" s="44"/>
      <c r="U110" s="31"/>
    </row>
    <row r="111" ht="15.75" customHeight="1">
      <c r="A111" s="41" t="s">
        <v>153</v>
      </c>
      <c r="B111" s="41">
        <f>SUM(F111:S111)/36</f>
        <v>2</v>
      </c>
      <c r="C111" s="42" t="s">
        <v>181</v>
      </c>
      <c r="D111" s="43" t="s">
        <v>182</v>
      </c>
      <c r="E111" s="41" t="s">
        <v>160</v>
      </c>
      <c r="F111" s="44">
        <v>18</v>
      </c>
      <c r="G111" s="44">
        <v>36</v>
      </c>
      <c r="H111" s="45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5">
        <v>2</v>
      </c>
      <c r="O111" s="44">
        <v>0</v>
      </c>
      <c r="P111" s="44">
        <v>0</v>
      </c>
      <c r="Q111" s="44">
        <v>16</v>
      </c>
      <c r="R111" s="44">
        <v>0</v>
      </c>
      <c r="S111" s="45">
        <v>0</v>
      </c>
      <c r="T111" s="44">
        <v>0</v>
      </c>
      <c r="U111" s="31"/>
    </row>
    <row r="112" ht="15.75" customHeight="1">
      <c r="A112" s="46"/>
      <c r="B112" s="46"/>
      <c r="C112" s="42"/>
      <c r="D112" s="43" t="s">
        <v>183</v>
      </c>
      <c r="E112" s="46"/>
      <c r="F112" s="44"/>
      <c r="G112" s="44"/>
      <c r="H112" s="45"/>
      <c r="I112" s="44"/>
      <c r="J112" s="44"/>
      <c r="K112" s="44"/>
      <c r="L112" s="44"/>
      <c r="M112" s="44"/>
      <c r="N112" s="45"/>
      <c r="O112" s="44"/>
      <c r="P112" s="44"/>
      <c r="Q112" s="44"/>
      <c r="R112" s="44"/>
      <c r="S112" s="45"/>
      <c r="T112" s="44"/>
      <c r="U112" s="31"/>
    </row>
    <row r="113" ht="15.75" customHeight="1">
      <c r="A113" s="41" t="s">
        <v>153</v>
      </c>
      <c r="B113" s="41">
        <f>SUM(F113:S113)/36</f>
        <v>2</v>
      </c>
      <c r="C113" s="42" t="s">
        <v>181</v>
      </c>
      <c r="D113" s="43" t="s">
        <v>184</v>
      </c>
      <c r="E113" s="41" t="s">
        <v>160</v>
      </c>
      <c r="F113" s="44">
        <v>44</v>
      </c>
      <c r="G113" s="44">
        <v>0</v>
      </c>
      <c r="H113" s="45">
        <v>4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5">
        <v>2</v>
      </c>
      <c r="O113" s="44">
        <v>0</v>
      </c>
      <c r="P113" s="44">
        <v>0</v>
      </c>
      <c r="Q113" s="44">
        <v>22</v>
      </c>
      <c r="R113" s="44">
        <v>0</v>
      </c>
      <c r="S113" s="45">
        <v>0</v>
      </c>
      <c r="T113" s="44">
        <v>0</v>
      </c>
      <c r="U113" s="31"/>
    </row>
    <row r="114" ht="15.75" customHeight="1">
      <c r="A114" s="46"/>
      <c r="B114" s="46"/>
      <c r="C114" s="42"/>
      <c r="D114" s="43" t="s">
        <v>185</v>
      </c>
      <c r="E114" s="46"/>
      <c r="F114" s="44"/>
      <c r="G114" s="44"/>
      <c r="H114" s="45"/>
      <c r="I114" s="44"/>
      <c r="J114" s="44"/>
      <c r="K114" s="44"/>
      <c r="L114" s="44"/>
      <c r="M114" s="44"/>
      <c r="N114" s="45"/>
      <c r="O114" s="44"/>
      <c r="P114" s="44"/>
      <c r="Q114" s="44"/>
      <c r="R114" s="44"/>
      <c r="S114" s="45"/>
      <c r="T114" s="44"/>
      <c r="U114" s="31"/>
    </row>
    <row r="115" ht="17.25" customHeight="1">
      <c r="A115" s="40" t="s">
        <v>186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6"/>
      <c r="U115" s="31"/>
    </row>
    <row r="116" ht="17.25" customHeight="1">
      <c r="A116" s="48" t="s">
        <v>187</v>
      </c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50"/>
      <c r="U116" s="31"/>
    </row>
    <row r="117" ht="17.25" customHeight="1">
      <c r="A117" s="51" t="s">
        <v>188</v>
      </c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50"/>
      <c r="U117" s="31"/>
    </row>
    <row r="118" ht="15.75" customHeight="1">
      <c r="A118" s="41" t="s">
        <v>153</v>
      </c>
      <c r="B118" s="41">
        <v>3</v>
      </c>
      <c r="C118" s="42" t="s">
        <v>36</v>
      </c>
      <c r="D118" s="43" t="s">
        <v>189</v>
      </c>
      <c r="E118" s="41" t="s">
        <v>160</v>
      </c>
      <c r="F118" s="44">
        <v>0</v>
      </c>
      <c r="G118" s="44">
        <v>0</v>
      </c>
      <c r="H118" s="45">
        <v>0</v>
      </c>
      <c r="I118" s="44">
        <v>58</v>
      </c>
      <c r="J118" s="44">
        <v>0</v>
      </c>
      <c r="K118" s="44">
        <v>0</v>
      </c>
      <c r="L118" s="44">
        <v>0</v>
      </c>
      <c r="M118" s="44">
        <v>0</v>
      </c>
      <c r="N118" s="45">
        <v>2</v>
      </c>
      <c r="O118" s="44">
        <v>18</v>
      </c>
      <c r="P118" s="44">
        <v>30</v>
      </c>
      <c r="Q118" s="44">
        <v>0</v>
      </c>
      <c r="R118" s="44">
        <v>0</v>
      </c>
      <c r="S118" s="45">
        <v>0</v>
      </c>
      <c r="T118" s="44">
        <v>108</v>
      </c>
      <c r="U118" s="31"/>
    </row>
    <row r="119" ht="15.75" customHeight="1">
      <c r="A119" s="46"/>
      <c r="B119" s="46"/>
      <c r="C119" s="42"/>
      <c r="D119" s="43" t="s">
        <v>190</v>
      </c>
      <c r="E119" s="46"/>
      <c r="F119" s="44"/>
      <c r="G119" s="44"/>
      <c r="H119" s="45"/>
      <c r="I119" s="44"/>
      <c r="J119" s="44"/>
      <c r="K119" s="44"/>
      <c r="L119" s="44"/>
      <c r="M119" s="44"/>
      <c r="N119" s="45"/>
      <c r="O119" s="44"/>
      <c r="P119" s="44"/>
      <c r="Q119" s="44"/>
      <c r="R119" s="44"/>
      <c r="S119" s="45"/>
      <c r="T119" s="44"/>
      <c r="U119" s="31"/>
    </row>
    <row r="120" ht="17.25" customHeight="1">
      <c r="A120" s="51" t="s">
        <v>191</v>
      </c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50"/>
      <c r="U120" s="31"/>
    </row>
    <row r="121" ht="15.75" customHeight="1">
      <c r="A121" s="41" t="s">
        <v>153</v>
      </c>
      <c r="B121" s="41">
        <v>3</v>
      </c>
      <c r="C121" s="42" t="s">
        <v>36</v>
      </c>
      <c r="D121" s="43" t="s">
        <v>192</v>
      </c>
      <c r="E121" s="41" t="s">
        <v>160</v>
      </c>
      <c r="F121" s="44">
        <v>0</v>
      </c>
      <c r="G121" s="44">
        <v>0</v>
      </c>
      <c r="H121" s="45">
        <v>0</v>
      </c>
      <c r="I121" s="44">
        <v>58</v>
      </c>
      <c r="J121" s="44">
        <v>0</v>
      </c>
      <c r="K121" s="44">
        <v>0</v>
      </c>
      <c r="L121" s="44">
        <v>0</v>
      </c>
      <c r="M121" s="44">
        <v>0</v>
      </c>
      <c r="N121" s="45">
        <v>2</v>
      </c>
      <c r="O121" s="44">
        <v>48</v>
      </c>
      <c r="P121" s="44">
        <v>0</v>
      </c>
      <c r="Q121" s="44">
        <v>0</v>
      </c>
      <c r="R121" s="44">
        <v>0</v>
      </c>
      <c r="S121" s="45">
        <v>0</v>
      </c>
      <c r="T121" s="44">
        <v>108</v>
      </c>
      <c r="U121" s="31"/>
    </row>
    <row r="122" ht="15.75" customHeight="1">
      <c r="A122" s="46"/>
      <c r="B122" s="46"/>
      <c r="C122" s="42"/>
      <c r="D122" s="43" t="s">
        <v>190</v>
      </c>
      <c r="E122" s="46"/>
      <c r="F122" s="44"/>
      <c r="G122" s="44"/>
      <c r="H122" s="45"/>
      <c r="I122" s="44"/>
      <c r="J122" s="44"/>
      <c r="K122" s="44"/>
      <c r="L122" s="44"/>
      <c r="M122" s="44"/>
      <c r="N122" s="45"/>
      <c r="O122" s="44"/>
      <c r="P122" s="44"/>
      <c r="Q122" s="44"/>
      <c r="R122" s="44"/>
      <c r="S122" s="45"/>
      <c r="T122" s="44"/>
      <c r="U122" s="31"/>
    </row>
    <row r="123" ht="17.25" customHeight="1">
      <c r="A123" s="51" t="s">
        <v>193</v>
      </c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50"/>
      <c r="U123" s="31"/>
    </row>
    <row r="124" ht="15.75" customHeight="1">
      <c r="A124" s="41" t="s">
        <v>153</v>
      </c>
      <c r="B124" s="41">
        <v>3</v>
      </c>
      <c r="C124" s="42" t="s">
        <v>36</v>
      </c>
      <c r="D124" s="43" t="s">
        <v>194</v>
      </c>
      <c r="E124" s="41" t="s">
        <v>160</v>
      </c>
      <c r="F124" s="44">
        <v>0</v>
      </c>
      <c r="G124" s="44">
        <v>0</v>
      </c>
      <c r="H124" s="45">
        <v>0</v>
      </c>
      <c r="I124" s="44">
        <v>58</v>
      </c>
      <c r="J124" s="44">
        <v>0</v>
      </c>
      <c r="K124" s="44">
        <v>0</v>
      </c>
      <c r="L124" s="44">
        <v>0</v>
      </c>
      <c r="M124" s="44">
        <v>0</v>
      </c>
      <c r="N124" s="45">
        <v>2</v>
      </c>
      <c r="O124" s="44">
        <v>48</v>
      </c>
      <c r="P124" s="44">
        <v>0</v>
      </c>
      <c r="Q124" s="44">
        <v>0</v>
      </c>
      <c r="R124" s="44">
        <v>0</v>
      </c>
      <c r="S124" s="45">
        <v>0</v>
      </c>
      <c r="T124" s="44">
        <v>108</v>
      </c>
      <c r="U124" s="31"/>
    </row>
    <row r="125" ht="15.75" customHeight="1">
      <c r="A125" s="46"/>
      <c r="B125" s="46"/>
      <c r="C125" s="42"/>
      <c r="D125" s="43" t="s">
        <v>190</v>
      </c>
      <c r="E125" s="46"/>
      <c r="F125" s="44"/>
      <c r="G125" s="44"/>
      <c r="H125" s="45"/>
      <c r="I125" s="44"/>
      <c r="J125" s="44"/>
      <c r="K125" s="44"/>
      <c r="L125" s="44"/>
      <c r="M125" s="44"/>
      <c r="N125" s="45"/>
      <c r="O125" s="44"/>
      <c r="P125" s="44"/>
      <c r="Q125" s="44"/>
      <c r="R125" s="44"/>
      <c r="S125" s="45"/>
      <c r="T125" s="44"/>
      <c r="U125" s="31"/>
    </row>
    <row r="126" ht="17.25" customHeight="1">
      <c r="A126" s="51" t="s">
        <v>195</v>
      </c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50"/>
      <c r="U126" s="31"/>
    </row>
    <row r="127" ht="15.75" customHeight="1">
      <c r="A127" s="41" t="s">
        <v>153</v>
      </c>
      <c r="B127" s="41">
        <v>3</v>
      </c>
      <c r="C127" s="42" t="s">
        <v>36</v>
      </c>
      <c r="D127" s="43" t="s">
        <v>196</v>
      </c>
      <c r="E127" s="41" t="s">
        <v>160</v>
      </c>
      <c r="F127" s="44">
        <v>0</v>
      </c>
      <c r="G127" s="44">
        <v>0</v>
      </c>
      <c r="H127" s="45">
        <v>0</v>
      </c>
      <c r="I127" s="44">
        <v>30</v>
      </c>
      <c r="J127" s="44">
        <v>0</v>
      </c>
      <c r="K127" s="44">
        <v>0</v>
      </c>
      <c r="L127" s="44">
        <v>0</v>
      </c>
      <c r="M127" s="44">
        <v>0</v>
      </c>
      <c r="N127" s="45">
        <v>2</v>
      </c>
      <c r="O127" s="44">
        <v>76</v>
      </c>
      <c r="P127" s="44">
        <v>0</v>
      </c>
      <c r="Q127" s="44">
        <v>0</v>
      </c>
      <c r="R127" s="44">
        <v>0</v>
      </c>
      <c r="S127" s="45">
        <v>0</v>
      </c>
      <c r="T127" s="44">
        <v>108</v>
      </c>
      <c r="U127" s="31"/>
    </row>
    <row r="128" ht="15.75" customHeight="1">
      <c r="A128" s="46"/>
      <c r="B128" s="46"/>
      <c r="C128" s="42"/>
      <c r="D128" s="43" t="s">
        <v>190</v>
      </c>
      <c r="E128" s="46"/>
      <c r="F128" s="44"/>
      <c r="G128" s="44"/>
      <c r="H128" s="45"/>
      <c r="I128" s="44"/>
      <c r="J128" s="44"/>
      <c r="K128" s="44"/>
      <c r="L128" s="44"/>
      <c r="M128" s="44"/>
      <c r="N128" s="45"/>
      <c r="O128" s="44"/>
      <c r="P128" s="44"/>
      <c r="Q128" s="44"/>
      <c r="R128" s="44"/>
      <c r="S128" s="45"/>
      <c r="T128" s="44"/>
      <c r="U128" s="31"/>
    </row>
    <row r="129" ht="17.25" customHeight="1">
      <c r="A129" s="51" t="s">
        <v>197</v>
      </c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50"/>
      <c r="U129" s="31"/>
    </row>
    <row r="130" ht="15.75" customHeight="1">
      <c r="A130" s="41" t="s">
        <v>153</v>
      </c>
      <c r="B130" s="41">
        <v>3</v>
      </c>
      <c r="C130" s="42" t="s">
        <v>36</v>
      </c>
      <c r="D130" s="43" t="s">
        <v>198</v>
      </c>
      <c r="E130" s="41" t="s">
        <v>160</v>
      </c>
      <c r="F130" s="44">
        <v>0</v>
      </c>
      <c r="G130" s="44">
        <v>0</v>
      </c>
      <c r="H130" s="45">
        <v>0</v>
      </c>
      <c r="I130" s="44">
        <v>58</v>
      </c>
      <c r="J130" s="44">
        <v>0</v>
      </c>
      <c r="K130" s="44">
        <v>0</v>
      </c>
      <c r="L130" s="44">
        <v>0</v>
      </c>
      <c r="M130" s="44">
        <v>0</v>
      </c>
      <c r="N130" s="45">
        <v>2</v>
      </c>
      <c r="O130" s="44">
        <v>18</v>
      </c>
      <c r="P130" s="44">
        <v>30</v>
      </c>
      <c r="Q130" s="44">
        <v>0</v>
      </c>
      <c r="R130" s="44">
        <v>0</v>
      </c>
      <c r="S130" s="45">
        <v>0</v>
      </c>
      <c r="T130" s="44">
        <v>108</v>
      </c>
      <c r="U130" s="31"/>
    </row>
    <row r="131" ht="15.75" customHeight="1">
      <c r="A131" s="46"/>
      <c r="B131" s="46"/>
      <c r="C131" s="42"/>
      <c r="D131" s="43" t="s">
        <v>199</v>
      </c>
      <c r="E131" s="46"/>
      <c r="F131" s="44"/>
      <c r="G131" s="44"/>
      <c r="H131" s="45"/>
      <c r="I131" s="44"/>
      <c r="J131" s="44"/>
      <c r="K131" s="44"/>
      <c r="L131" s="44"/>
      <c r="M131" s="44"/>
      <c r="N131" s="45"/>
      <c r="O131" s="44"/>
      <c r="P131" s="44"/>
      <c r="Q131" s="44"/>
      <c r="R131" s="44"/>
      <c r="S131" s="45"/>
      <c r="T131" s="44"/>
      <c r="U131" s="31"/>
    </row>
    <row r="132" ht="17.25" customHeight="1">
      <c r="A132" s="51" t="s">
        <v>200</v>
      </c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50"/>
      <c r="U132" s="31"/>
    </row>
    <row r="133" ht="15.75" customHeight="1">
      <c r="A133" s="41" t="s">
        <v>153</v>
      </c>
      <c r="B133" s="41">
        <v>3</v>
      </c>
      <c r="C133" s="42" t="s">
        <v>36</v>
      </c>
      <c r="D133" s="43" t="s">
        <v>201</v>
      </c>
      <c r="E133" s="41" t="s">
        <v>160</v>
      </c>
      <c r="F133" s="44">
        <v>0</v>
      </c>
      <c r="G133" s="44">
        <v>0</v>
      </c>
      <c r="H133" s="45">
        <v>0</v>
      </c>
      <c r="I133" s="44">
        <v>58</v>
      </c>
      <c r="J133" s="44">
        <v>0</v>
      </c>
      <c r="K133" s="44">
        <v>0</v>
      </c>
      <c r="L133" s="44">
        <v>0</v>
      </c>
      <c r="M133" s="44">
        <v>0</v>
      </c>
      <c r="N133" s="45">
        <v>2</v>
      </c>
      <c r="O133" s="44">
        <v>48</v>
      </c>
      <c r="P133" s="44">
        <v>0</v>
      </c>
      <c r="Q133" s="44">
        <v>0</v>
      </c>
      <c r="R133" s="44">
        <v>0</v>
      </c>
      <c r="S133" s="45">
        <v>0</v>
      </c>
      <c r="T133" s="44">
        <v>108</v>
      </c>
      <c r="U133" s="31"/>
    </row>
    <row r="134" ht="15.75" customHeight="1">
      <c r="A134" s="46"/>
      <c r="B134" s="46"/>
      <c r="C134" s="42"/>
      <c r="D134" s="43" t="s">
        <v>199</v>
      </c>
      <c r="E134" s="46"/>
      <c r="F134" s="44"/>
      <c r="G134" s="44"/>
      <c r="H134" s="45"/>
      <c r="I134" s="44"/>
      <c r="J134" s="44"/>
      <c r="K134" s="44"/>
      <c r="L134" s="44"/>
      <c r="M134" s="44"/>
      <c r="N134" s="45"/>
      <c r="O134" s="44"/>
      <c r="P134" s="44"/>
      <c r="Q134" s="44"/>
      <c r="R134" s="44"/>
      <c r="S134" s="45"/>
      <c r="T134" s="44"/>
      <c r="U134" s="31"/>
    </row>
    <row r="135" ht="17.25" customHeight="1">
      <c r="A135" s="40" t="s">
        <v>202</v>
      </c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6"/>
      <c r="U135" s="31"/>
    </row>
    <row r="136" ht="17.25" customHeight="1">
      <c r="A136" s="48" t="s">
        <v>203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50"/>
      <c r="U136" s="31"/>
    </row>
    <row r="137" ht="17.25" customHeight="1">
      <c r="A137" s="48" t="s">
        <v>204</v>
      </c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50"/>
      <c r="U137" s="31"/>
    </row>
    <row r="138" ht="15.75" customHeight="1">
      <c r="A138" s="41" t="s">
        <v>153</v>
      </c>
      <c r="B138" s="44" t="s">
        <v>205</v>
      </c>
      <c r="C138" s="42" t="s">
        <v>36</v>
      </c>
      <c r="D138" s="43" t="s">
        <v>206</v>
      </c>
      <c r="E138" s="44" t="s">
        <v>207</v>
      </c>
      <c r="F138" s="52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4"/>
      <c r="U138" s="31"/>
    </row>
    <row r="139" ht="15.75" customHeight="1">
      <c r="A139" s="47"/>
      <c r="B139" s="44" t="s">
        <v>208</v>
      </c>
      <c r="C139" s="42"/>
      <c r="D139" s="43" t="s">
        <v>209</v>
      </c>
      <c r="E139" s="44" t="s">
        <v>210</v>
      </c>
      <c r="F139" s="5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56"/>
      <c r="U139" s="31"/>
    </row>
    <row r="140" ht="15.75" customHeight="1">
      <c r="A140" s="47"/>
      <c r="B140" s="44"/>
      <c r="C140" s="42"/>
      <c r="D140" s="43" t="s">
        <v>211</v>
      </c>
      <c r="E140" s="44"/>
      <c r="F140" s="57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9"/>
      <c r="U140" s="31"/>
    </row>
    <row r="141" ht="15.75" customHeight="1">
      <c r="A141" s="47"/>
      <c r="B141" s="44"/>
      <c r="C141" s="42"/>
      <c r="D141" s="43" t="s">
        <v>212</v>
      </c>
      <c r="E141" s="44" t="s">
        <v>213</v>
      </c>
      <c r="F141" s="52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4"/>
      <c r="U141" s="31"/>
    </row>
    <row r="142" ht="15.75" customHeight="1">
      <c r="A142" s="46"/>
      <c r="B142" s="44"/>
      <c r="C142" s="42"/>
      <c r="D142" s="43"/>
      <c r="E142" s="44" t="s">
        <v>214</v>
      </c>
      <c r="F142" s="57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9"/>
      <c r="U142" s="31"/>
    </row>
    <row r="143" ht="15.75" customHeight="1">
      <c r="A143" s="41"/>
      <c r="B143" s="41">
        <v>2</v>
      </c>
      <c r="C143" s="42" t="s">
        <v>36</v>
      </c>
      <c r="D143" s="43" t="s">
        <v>215</v>
      </c>
      <c r="E143" s="41" t="s">
        <v>160</v>
      </c>
      <c r="F143" s="44">
        <v>0</v>
      </c>
      <c r="G143" s="44">
        <v>0</v>
      </c>
      <c r="H143" s="45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0</v>
      </c>
      <c r="N143" s="45">
        <v>2</v>
      </c>
      <c r="O143" s="44">
        <v>0</v>
      </c>
      <c r="P143" s="44">
        <v>0</v>
      </c>
      <c r="Q143" s="44">
        <v>70</v>
      </c>
      <c r="R143" s="44">
        <v>0</v>
      </c>
      <c r="S143" s="45">
        <v>0</v>
      </c>
      <c r="T143" s="44">
        <v>0</v>
      </c>
      <c r="U143" s="31"/>
    </row>
    <row r="144" ht="15.75" customHeight="1">
      <c r="A144" s="47"/>
      <c r="B144" s="46"/>
      <c r="C144" s="42"/>
      <c r="D144" s="43" t="s">
        <v>216</v>
      </c>
      <c r="E144" s="46"/>
      <c r="F144" s="44"/>
      <c r="G144" s="44"/>
      <c r="H144" s="45"/>
      <c r="I144" s="44"/>
      <c r="J144" s="44"/>
      <c r="K144" s="44"/>
      <c r="L144" s="44"/>
      <c r="M144" s="44"/>
      <c r="N144" s="45"/>
      <c r="O144" s="44"/>
      <c r="P144" s="44"/>
      <c r="Q144" s="44"/>
      <c r="R144" s="44"/>
      <c r="S144" s="45"/>
      <c r="T144" s="44"/>
      <c r="U144" s="31"/>
    </row>
    <row r="145" ht="15.75" customHeight="1">
      <c r="A145" s="47"/>
      <c r="B145" s="41">
        <v>2</v>
      </c>
      <c r="C145" s="42" t="s">
        <v>36</v>
      </c>
      <c r="D145" s="43" t="s">
        <v>217</v>
      </c>
      <c r="E145" s="41" t="s">
        <v>160</v>
      </c>
      <c r="F145" s="44">
        <v>0</v>
      </c>
      <c r="G145" s="44">
        <v>0</v>
      </c>
      <c r="H145" s="45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5">
        <v>2</v>
      </c>
      <c r="O145" s="44">
        <v>0</v>
      </c>
      <c r="P145" s="44">
        <v>0</v>
      </c>
      <c r="Q145" s="44">
        <v>70</v>
      </c>
      <c r="R145" s="44">
        <v>0</v>
      </c>
      <c r="S145" s="45">
        <v>0</v>
      </c>
      <c r="T145" s="44">
        <v>0</v>
      </c>
      <c r="U145" s="31"/>
    </row>
    <row r="146" ht="15.75" customHeight="1">
      <c r="A146" s="47"/>
      <c r="B146" s="46"/>
      <c r="C146" s="42"/>
      <c r="D146" s="43" t="s">
        <v>218</v>
      </c>
      <c r="E146" s="46"/>
      <c r="F146" s="44"/>
      <c r="G146" s="44"/>
      <c r="H146" s="45"/>
      <c r="I146" s="44"/>
      <c r="J146" s="44"/>
      <c r="K146" s="44"/>
      <c r="L146" s="44"/>
      <c r="M146" s="44"/>
      <c r="N146" s="45"/>
      <c r="O146" s="44"/>
      <c r="P146" s="44"/>
      <c r="Q146" s="44"/>
      <c r="R146" s="44"/>
      <c r="S146" s="45"/>
      <c r="T146" s="44"/>
      <c r="U146" s="31"/>
    </row>
    <row r="147" ht="15.75" customHeight="1">
      <c r="A147" s="47"/>
      <c r="B147" s="41">
        <v>1</v>
      </c>
      <c r="C147" s="42" t="s">
        <v>36</v>
      </c>
      <c r="D147" s="43" t="s">
        <v>219</v>
      </c>
      <c r="E147" s="41" t="s">
        <v>160</v>
      </c>
      <c r="F147" s="44">
        <v>0</v>
      </c>
      <c r="G147" s="44">
        <v>0</v>
      </c>
      <c r="H147" s="45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5">
        <v>2</v>
      </c>
      <c r="O147" s="44">
        <v>0</v>
      </c>
      <c r="P147" s="44">
        <v>0</v>
      </c>
      <c r="Q147" s="44">
        <v>34</v>
      </c>
      <c r="R147" s="44">
        <v>0</v>
      </c>
      <c r="S147" s="45">
        <v>0</v>
      </c>
      <c r="T147" s="44">
        <v>0</v>
      </c>
      <c r="U147" s="31"/>
    </row>
    <row r="148" ht="15.75" customHeight="1">
      <c r="A148" s="47"/>
      <c r="B148" s="46"/>
      <c r="C148" s="42"/>
      <c r="D148" s="43" t="s">
        <v>220</v>
      </c>
      <c r="E148" s="46"/>
      <c r="F148" s="44"/>
      <c r="G148" s="44"/>
      <c r="H148" s="45"/>
      <c r="I148" s="44"/>
      <c r="J148" s="44"/>
      <c r="K148" s="44"/>
      <c r="L148" s="44"/>
      <c r="M148" s="44"/>
      <c r="N148" s="45"/>
      <c r="O148" s="44"/>
      <c r="P148" s="44"/>
      <c r="Q148" s="44"/>
      <c r="R148" s="44"/>
      <c r="S148" s="45"/>
      <c r="T148" s="44"/>
      <c r="U148" s="31"/>
    </row>
    <row r="149" ht="15.75" customHeight="1">
      <c r="A149" s="47"/>
      <c r="B149" s="41">
        <v>1</v>
      </c>
      <c r="C149" s="42" t="s">
        <v>36</v>
      </c>
      <c r="D149" s="43" t="s">
        <v>221</v>
      </c>
      <c r="E149" s="41" t="s">
        <v>160</v>
      </c>
      <c r="F149" s="44">
        <v>0</v>
      </c>
      <c r="G149" s="44">
        <v>0</v>
      </c>
      <c r="H149" s="45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5">
        <v>2</v>
      </c>
      <c r="O149" s="44">
        <v>0</v>
      </c>
      <c r="P149" s="44">
        <v>0</v>
      </c>
      <c r="Q149" s="44">
        <v>34</v>
      </c>
      <c r="R149" s="44">
        <v>0</v>
      </c>
      <c r="S149" s="45">
        <v>0</v>
      </c>
      <c r="T149" s="44">
        <v>0</v>
      </c>
      <c r="U149" s="31"/>
    </row>
    <row r="150" ht="15.75" customHeight="1">
      <c r="A150" s="47"/>
      <c r="B150" s="46"/>
      <c r="C150" s="42"/>
      <c r="D150" s="43" t="s">
        <v>222</v>
      </c>
      <c r="E150" s="46"/>
      <c r="F150" s="44"/>
      <c r="G150" s="44"/>
      <c r="H150" s="45"/>
      <c r="I150" s="44"/>
      <c r="J150" s="44"/>
      <c r="K150" s="44"/>
      <c r="L150" s="44"/>
      <c r="M150" s="44"/>
      <c r="N150" s="45"/>
      <c r="O150" s="44"/>
      <c r="P150" s="44"/>
      <c r="Q150" s="44"/>
      <c r="R150" s="44"/>
      <c r="S150" s="45"/>
      <c r="T150" s="44"/>
      <c r="U150" s="31"/>
    </row>
    <row r="151" ht="15.75" customHeight="1">
      <c r="A151" s="47"/>
      <c r="B151" s="41">
        <v>1</v>
      </c>
      <c r="C151" s="42" t="s">
        <v>36</v>
      </c>
      <c r="D151" s="43" t="s">
        <v>223</v>
      </c>
      <c r="E151" s="41" t="s">
        <v>160</v>
      </c>
      <c r="F151" s="44">
        <v>0</v>
      </c>
      <c r="G151" s="44">
        <v>0</v>
      </c>
      <c r="H151" s="45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5">
        <v>2</v>
      </c>
      <c r="O151" s="44">
        <v>0</v>
      </c>
      <c r="P151" s="44">
        <v>0</v>
      </c>
      <c r="Q151" s="44">
        <v>34</v>
      </c>
      <c r="R151" s="44">
        <v>0</v>
      </c>
      <c r="S151" s="45">
        <v>0</v>
      </c>
      <c r="T151" s="44">
        <v>0</v>
      </c>
      <c r="U151" s="31"/>
    </row>
    <row r="152" ht="15.75" customHeight="1">
      <c r="A152" s="47"/>
      <c r="B152" s="46"/>
      <c r="C152" s="42"/>
      <c r="D152" s="43" t="s">
        <v>224</v>
      </c>
      <c r="E152" s="46"/>
      <c r="F152" s="44"/>
      <c r="G152" s="44"/>
      <c r="H152" s="45"/>
      <c r="I152" s="44"/>
      <c r="J152" s="44"/>
      <c r="K152" s="44"/>
      <c r="L152" s="44"/>
      <c r="M152" s="44"/>
      <c r="N152" s="45"/>
      <c r="O152" s="44"/>
      <c r="P152" s="44"/>
      <c r="Q152" s="44"/>
      <c r="R152" s="44"/>
      <c r="S152" s="45"/>
      <c r="T152" s="44"/>
      <c r="U152" s="31"/>
    </row>
    <row r="153" ht="15.75" customHeight="1">
      <c r="A153" s="47"/>
      <c r="B153" s="41">
        <v>1</v>
      </c>
      <c r="C153" s="42" t="s">
        <v>36</v>
      </c>
      <c r="D153" s="43" t="s">
        <v>225</v>
      </c>
      <c r="E153" s="41" t="s">
        <v>160</v>
      </c>
      <c r="F153" s="44">
        <v>0</v>
      </c>
      <c r="G153" s="44">
        <v>0</v>
      </c>
      <c r="H153" s="45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5">
        <v>2</v>
      </c>
      <c r="O153" s="44">
        <v>0</v>
      </c>
      <c r="P153" s="44">
        <v>0</v>
      </c>
      <c r="Q153" s="44">
        <v>34</v>
      </c>
      <c r="R153" s="44">
        <v>0</v>
      </c>
      <c r="S153" s="45">
        <v>0</v>
      </c>
      <c r="T153" s="44">
        <v>0</v>
      </c>
      <c r="U153" s="31"/>
    </row>
    <row r="154" ht="15.75" customHeight="1">
      <c r="A154" s="47"/>
      <c r="B154" s="46"/>
      <c r="C154" s="42"/>
      <c r="D154" s="43" t="s">
        <v>226</v>
      </c>
      <c r="E154" s="46"/>
      <c r="F154" s="44"/>
      <c r="G154" s="44"/>
      <c r="H154" s="45"/>
      <c r="I154" s="44"/>
      <c r="J154" s="44"/>
      <c r="K154" s="44"/>
      <c r="L154" s="44"/>
      <c r="M154" s="44"/>
      <c r="N154" s="45"/>
      <c r="O154" s="44"/>
      <c r="P154" s="44"/>
      <c r="Q154" s="44"/>
      <c r="R154" s="44"/>
      <c r="S154" s="45"/>
      <c r="T154" s="44"/>
      <c r="U154" s="31"/>
    </row>
    <row r="155" ht="15.75" customHeight="1">
      <c r="A155" s="47"/>
      <c r="B155" s="41">
        <v>1</v>
      </c>
      <c r="C155" s="42" t="s">
        <v>36</v>
      </c>
      <c r="D155" s="43" t="s">
        <v>227</v>
      </c>
      <c r="E155" s="41" t="s">
        <v>160</v>
      </c>
      <c r="F155" s="44">
        <v>0</v>
      </c>
      <c r="G155" s="44">
        <v>0</v>
      </c>
      <c r="H155" s="45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45">
        <v>2</v>
      </c>
      <c r="O155" s="44">
        <v>0</v>
      </c>
      <c r="P155" s="44">
        <v>0</v>
      </c>
      <c r="Q155" s="44">
        <v>34</v>
      </c>
      <c r="R155" s="44">
        <v>0</v>
      </c>
      <c r="S155" s="45">
        <v>0</v>
      </c>
      <c r="T155" s="44">
        <v>0</v>
      </c>
      <c r="U155" s="31"/>
    </row>
    <row r="156" ht="15.75" customHeight="1">
      <c r="A156" s="46"/>
      <c r="B156" s="46"/>
      <c r="C156" s="42"/>
      <c r="D156" s="43" t="s">
        <v>228</v>
      </c>
      <c r="E156" s="46"/>
      <c r="F156" s="44"/>
      <c r="G156" s="44"/>
      <c r="H156" s="45"/>
      <c r="I156" s="44"/>
      <c r="J156" s="44"/>
      <c r="K156" s="44"/>
      <c r="L156" s="44"/>
      <c r="M156" s="44"/>
      <c r="N156" s="45"/>
      <c r="O156" s="44"/>
      <c r="P156" s="44"/>
      <c r="Q156" s="44"/>
      <c r="R156" s="44"/>
      <c r="S156" s="45"/>
      <c r="T156" s="44"/>
      <c r="U156" s="31"/>
    </row>
    <row r="157" ht="15.75" customHeight="1">
      <c r="A157" s="41" t="s">
        <v>153</v>
      </c>
      <c r="B157" s="41">
        <v>2</v>
      </c>
      <c r="C157" s="42" t="s">
        <v>181</v>
      </c>
      <c r="D157" s="43" t="s">
        <v>229</v>
      </c>
      <c r="E157" s="41" t="s">
        <v>160</v>
      </c>
      <c r="F157" s="44">
        <v>0</v>
      </c>
      <c r="G157" s="44">
        <v>0</v>
      </c>
      <c r="H157" s="45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5">
        <v>1</v>
      </c>
      <c r="O157" s="44">
        <v>0</v>
      </c>
      <c r="P157" s="44">
        <v>0</v>
      </c>
      <c r="Q157" s="44">
        <v>60</v>
      </c>
      <c r="R157" s="44">
        <v>11</v>
      </c>
      <c r="S157" s="45">
        <v>0</v>
      </c>
      <c r="T157" s="44">
        <v>0</v>
      </c>
      <c r="U157" s="31"/>
    </row>
    <row r="158" ht="15.75" customHeight="1">
      <c r="A158" s="46"/>
      <c r="B158" s="46"/>
      <c r="C158" s="42"/>
      <c r="D158" s="43" t="s">
        <v>230</v>
      </c>
      <c r="E158" s="46"/>
      <c r="F158" s="44"/>
      <c r="G158" s="44"/>
      <c r="H158" s="45"/>
      <c r="I158" s="44"/>
      <c r="J158" s="44"/>
      <c r="K158" s="44"/>
      <c r="L158" s="44"/>
      <c r="M158" s="44"/>
      <c r="N158" s="45"/>
      <c r="O158" s="44"/>
      <c r="P158" s="44"/>
      <c r="Q158" s="44"/>
      <c r="R158" s="44"/>
      <c r="S158" s="45"/>
      <c r="T158" s="44"/>
      <c r="U158" s="31"/>
    </row>
    <row r="159" ht="15.75" customHeight="1">
      <c r="A159" s="41" t="s">
        <v>153</v>
      </c>
      <c r="B159" s="44" t="s">
        <v>205</v>
      </c>
      <c r="C159" s="42" t="s">
        <v>36</v>
      </c>
      <c r="D159" s="43" t="s">
        <v>206</v>
      </c>
      <c r="E159" s="44" t="s">
        <v>207</v>
      </c>
      <c r="F159" s="52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4"/>
      <c r="U159" s="31"/>
    </row>
    <row r="160" ht="15.75" customHeight="1">
      <c r="A160" s="47"/>
      <c r="B160" s="44" t="s">
        <v>231</v>
      </c>
      <c r="C160" s="42"/>
      <c r="D160" s="43" t="s">
        <v>232</v>
      </c>
      <c r="E160" s="44" t="s">
        <v>233</v>
      </c>
      <c r="F160" s="5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56"/>
      <c r="U160" s="31"/>
    </row>
    <row r="161" ht="15.75" customHeight="1">
      <c r="A161" s="47"/>
      <c r="B161" s="44"/>
      <c r="C161" s="42"/>
      <c r="D161" s="43" t="s">
        <v>234</v>
      </c>
      <c r="E161" s="44"/>
      <c r="F161" s="57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9"/>
      <c r="U161" s="31"/>
    </row>
    <row r="162" ht="15.75" customHeight="1">
      <c r="A162" s="47"/>
      <c r="B162" s="44"/>
      <c r="C162" s="42"/>
      <c r="D162" s="43" t="s">
        <v>235</v>
      </c>
      <c r="E162" s="44" t="s">
        <v>213</v>
      </c>
      <c r="F162" s="52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4"/>
      <c r="U162" s="31"/>
    </row>
    <row r="163" ht="15.75" customHeight="1">
      <c r="A163" s="46"/>
      <c r="B163" s="44"/>
      <c r="C163" s="42"/>
      <c r="D163" s="43"/>
      <c r="E163" s="44" t="s">
        <v>214</v>
      </c>
      <c r="F163" s="57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9"/>
      <c r="U163" s="31"/>
    </row>
    <row r="164" ht="15.75" customHeight="1">
      <c r="A164" s="41"/>
      <c r="B164" s="41">
        <v>1</v>
      </c>
      <c r="C164" s="42" t="s">
        <v>36</v>
      </c>
      <c r="D164" s="43" t="s">
        <v>236</v>
      </c>
      <c r="E164" s="41" t="s">
        <v>160</v>
      </c>
      <c r="F164" s="44">
        <v>0</v>
      </c>
      <c r="G164" s="44">
        <v>0</v>
      </c>
      <c r="H164" s="45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5">
        <v>2</v>
      </c>
      <c r="O164" s="44">
        <v>0</v>
      </c>
      <c r="P164" s="44">
        <v>0</v>
      </c>
      <c r="Q164" s="44">
        <v>34</v>
      </c>
      <c r="R164" s="44">
        <v>0</v>
      </c>
      <c r="S164" s="45">
        <v>0</v>
      </c>
      <c r="T164" s="44">
        <v>0</v>
      </c>
      <c r="U164" s="31"/>
    </row>
    <row r="165" ht="15.75" customHeight="1">
      <c r="A165" s="47"/>
      <c r="B165" s="46"/>
      <c r="C165" s="42"/>
      <c r="D165" s="43" t="s">
        <v>237</v>
      </c>
      <c r="E165" s="46"/>
      <c r="F165" s="44"/>
      <c r="G165" s="44"/>
      <c r="H165" s="45"/>
      <c r="I165" s="44"/>
      <c r="J165" s="44"/>
      <c r="K165" s="44"/>
      <c r="L165" s="44"/>
      <c r="M165" s="44"/>
      <c r="N165" s="45"/>
      <c r="O165" s="44"/>
      <c r="P165" s="44"/>
      <c r="Q165" s="44"/>
      <c r="R165" s="44"/>
      <c r="S165" s="45"/>
      <c r="T165" s="44"/>
      <c r="U165" s="31"/>
    </row>
    <row r="166" ht="15.75" customHeight="1">
      <c r="A166" s="47"/>
      <c r="B166" s="41">
        <v>1</v>
      </c>
      <c r="C166" s="42" t="s">
        <v>36</v>
      </c>
      <c r="D166" s="43" t="s">
        <v>238</v>
      </c>
      <c r="E166" s="41" t="s">
        <v>160</v>
      </c>
      <c r="F166" s="44">
        <v>0</v>
      </c>
      <c r="G166" s="44">
        <v>0</v>
      </c>
      <c r="H166" s="45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5">
        <v>2</v>
      </c>
      <c r="O166" s="44">
        <v>0</v>
      </c>
      <c r="P166" s="44">
        <v>0</v>
      </c>
      <c r="Q166" s="44">
        <v>34</v>
      </c>
      <c r="R166" s="44">
        <v>0</v>
      </c>
      <c r="S166" s="45">
        <v>0</v>
      </c>
      <c r="T166" s="44">
        <v>0</v>
      </c>
      <c r="U166" s="31"/>
    </row>
    <row r="167" ht="15.75" customHeight="1">
      <c r="A167" s="46"/>
      <c r="B167" s="46"/>
      <c r="C167" s="42"/>
      <c r="D167" s="43" t="s">
        <v>239</v>
      </c>
      <c r="E167" s="46"/>
      <c r="F167" s="44"/>
      <c r="G167" s="44"/>
      <c r="H167" s="45"/>
      <c r="I167" s="44"/>
      <c r="J167" s="44"/>
      <c r="K167" s="44"/>
      <c r="L167" s="44"/>
      <c r="M167" s="44"/>
      <c r="N167" s="45"/>
      <c r="O167" s="44"/>
      <c r="P167" s="44"/>
      <c r="Q167" s="44"/>
      <c r="R167" s="44"/>
      <c r="S167" s="45"/>
      <c r="T167" s="44"/>
      <c r="U167" s="31"/>
    </row>
    <row r="168" ht="17.25" customHeight="1">
      <c r="A168" s="39" t="s">
        <v>240</v>
      </c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6"/>
      <c r="U168" s="31"/>
    </row>
    <row r="169" ht="17.25" customHeight="1">
      <c r="A169" s="40" t="s">
        <v>152</v>
      </c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6"/>
      <c r="U169" s="31"/>
    </row>
    <row r="170" ht="15.75" customHeight="1">
      <c r="A170" s="41" t="s">
        <v>153</v>
      </c>
      <c r="B170" s="41">
        <f>SUM(F170:S170)/36</f>
        <v>5</v>
      </c>
      <c r="C170" s="42" t="s">
        <v>154</v>
      </c>
      <c r="D170" s="43" t="s">
        <v>155</v>
      </c>
      <c r="E170" s="41" t="s">
        <v>156</v>
      </c>
      <c r="F170" s="44">
        <v>44</v>
      </c>
      <c r="G170" s="44">
        <v>0</v>
      </c>
      <c r="H170" s="45">
        <v>2</v>
      </c>
      <c r="I170" s="44">
        <v>40</v>
      </c>
      <c r="J170" s="44">
        <v>0</v>
      </c>
      <c r="K170" s="44">
        <v>6</v>
      </c>
      <c r="L170" s="44">
        <v>0</v>
      </c>
      <c r="M170" s="44">
        <v>0</v>
      </c>
      <c r="N170" s="45">
        <v>4</v>
      </c>
      <c r="O170" s="44">
        <v>0</v>
      </c>
      <c r="P170" s="44">
        <v>0</v>
      </c>
      <c r="Q170" s="44">
        <v>53</v>
      </c>
      <c r="R170" s="44">
        <v>0</v>
      </c>
      <c r="S170" s="45">
        <v>31</v>
      </c>
      <c r="T170" s="44">
        <v>56</v>
      </c>
      <c r="U170" s="31"/>
    </row>
    <row r="171" ht="15.75" customHeight="1">
      <c r="A171" s="46"/>
      <c r="B171" s="46"/>
      <c r="C171" s="42"/>
      <c r="D171" s="43" t="s">
        <v>157</v>
      </c>
      <c r="E171" s="46"/>
      <c r="F171" s="44"/>
      <c r="G171" s="44"/>
      <c r="H171" s="45"/>
      <c r="I171" s="44"/>
      <c r="J171" s="44"/>
      <c r="K171" s="44"/>
      <c r="L171" s="44"/>
      <c r="M171" s="44"/>
      <c r="N171" s="45"/>
      <c r="O171" s="44"/>
      <c r="P171" s="44"/>
      <c r="Q171" s="44"/>
      <c r="R171" s="44"/>
      <c r="S171" s="45"/>
      <c r="T171" s="44"/>
      <c r="U171" s="31"/>
    </row>
    <row r="172" ht="15.75" customHeight="1">
      <c r="A172" s="41" t="s">
        <v>153</v>
      </c>
      <c r="B172" s="41">
        <f>SUM(F172:S172)/36</f>
        <v>4</v>
      </c>
      <c r="C172" s="42" t="s">
        <v>167</v>
      </c>
      <c r="D172" s="43" t="s">
        <v>168</v>
      </c>
      <c r="E172" s="41" t="s">
        <v>169</v>
      </c>
      <c r="F172" s="44">
        <v>40</v>
      </c>
      <c r="G172" s="44">
        <v>20</v>
      </c>
      <c r="H172" s="45">
        <v>2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5">
        <v>2</v>
      </c>
      <c r="O172" s="44">
        <v>0</v>
      </c>
      <c r="P172" s="44">
        <v>0</v>
      </c>
      <c r="Q172" s="44">
        <v>56</v>
      </c>
      <c r="R172" s="44">
        <v>0</v>
      </c>
      <c r="S172" s="45">
        <v>24</v>
      </c>
      <c r="T172" s="44">
        <v>30</v>
      </c>
      <c r="U172" s="31"/>
    </row>
    <row r="173" ht="15.75" customHeight="1">
      <c r="A173" s="46"/>
      <c r="B173" s="46"/>
      <c r="C173" s="42"/>
      <c r="D173" s="43" t="s">
        <v>170</v>
      </c>
      <c r="E173" s="46"/>
      <c r="F173" s="44"/>
      <c r="G173" s="44"/>
      <c r="H173" s="45"/>
      <c r="I173" s="44"/>
      <c r="J173" s="44"/>
      <c r="K173" s="44"/>
      <c r="L173" s="44"/>
      <c r="M173" s="44"/>
      <c r="N173" s="45"/>
      <c r="O173" s="44"/>
      <c r="P173" s="44"/>
      <c r="Q173" s="44"/>
      <c r="R173" s="44"/>
      <c r="S173" s="45"/>
      <c r="T173" s="44"/>
      <c r="U173" s="31"/>
    </row>
    <row r="174" ht="15.75" customHeight="1">
      <c r="A174" s="41" t="s">
        <v>153</v>
      </c>
      <c r="B174" s="41">
        <f>SUM(F174:S174)/36</f>
        <v>2</v>
      </c>
      <c r="C174" s="42" t="s">
        <v>154</v>
      </c>
      <c r="D174" s="43" t="s">
        <v>241</v>
      </c>
      <c r="E174" s="41" t="s">
        <v>160</v>
      </c>
      <c r="F174" s="44">
        <v>30</v>
      </c>
      <c r="G174" s="44">
        <v>0</v>
      </c>
      <c r="H174" s="45">
        <v>2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5">
        <v>2</v>
      </c>
      <c r="O174" s="44">
        <v>0</v>
      </c>
      <c r="P174" s="44">
        <v>0</v>
      </c>
      <c r="Q174" s="44">
        <v>31</v>
      </c>
      <c r="R174" s="44">
        <v>0</v>
      </c>
      <c r="S174" s="45">
        <v>7</v>
      </c>
      <c r="T174" s="44">
        <v>2</v>
      </c>
      <c r="U174" s="31"/>
    </row>
    <row r="175" ht="15.75" customHeight="1">
      <c r="A175" s="46"/>
      <c r="B175" s="46"/>
      <c r="C175" s="42"/>
      <c r="D175" s="43" t="s">
        <v>242</v>
      </c>
      <c r="E175" s="46"/>
      <c r="F175" s="44"/>
      <c r="G175" s="44"/>
      <c r="H175" s="45"/>
      <c r="I175" s="44"/>
      <c r="J175" s="44"/>
      <c r="K175" s="44"/>
      <c r="L175" s="44"/>
      <c r="M175" s="44"/>
      <c r="N175" s="45"/>
      <c r="O175" s="44"/>
      <c r="P175" s="44"/>
      <c r="Q175" s="44"/>
      <c r="R175" s="44"/>
      <c r="S175" s="45"/>
      <c r="T175" s="44"/>
      <c r="U175" s="31"/>
    </row>
    <row r="176" ht="15.75" customHeight="1">
      <c r="A176" s="41" t="s">
        <v>153</v>
      </c>
      <c r="B176" s="41">
        <f>SUM(F176:S176)/36</f>
        <v>1</v>
      </c>
      <c r="C176" s="42" t="s">
        <v>42</v>
      </c>
      <c r="D176" s="43" t="s">
        <v>171</v>
      </c>
      <c r="E176" s="41" t="s">
        <v>172</v>
      </c>
      <c r="F176" s="44">
        <v>0</v>
      </c>
      <c r="G176" s="44">
        <v>0</v>
      </c>
      <c r="H176" s="45">
        <v>0</v>
      </c>
      <c r="I176" s="44">
        <v>34</v>
      </c>
      <c r="J176" s="44">
        <v>0</v>
      </c>
      <c r="K176" s="44">
        <v>0</v>
      </c>
      <c r="L176" s="44">
        <v>0</v>
      </c>
      <c r="M176" s="44">
        <v>2</v>
      </c>
      <c r="N176" s="45">
        <v>0</v>
      </c>
      <c r="O176" s="44">
        <v>0</v>
      </c>
      <c r="P176" s="44">
        <v>0</v>
      </c>
      <c r="Q176" s="44">
        <v>0</v>
      </c>
      <c r="R176" s="44">
        <v>0</v>
      </c>
      <c r="S176" s="45">
        <v>0</v>
      </c>
      <c r="T176" s="44">
        <v>20</v>
      </c>
      <c r="U176" s="31"/>
    </row>
    <row r="177" ht="15.75" customHeight="1">
      <c r="A177" s="47"/>
      <c r="B177" s="47"/>
      <c r="C177" s="42"/>
      <c r="D177" s="43" t="s">
        <v>173</v>
      </c>
      <c r="E177" s="47"/>
      <c r="F177" s="44"/>
      <c r="G177" s="44"/>
      <c r="H177" s="45"/>
      <c r="I177" s="44"/>
      <c r="J177" s="44"/>
      <c r="K177" s="44"/>
      <c r="L177" s="44"/>
      <c r="M177" s="44"/>
      <c r="N177" s="45"/>
      <c r="O177" s="44"/>
      <c r="P177" s="44"/>
      <c r="Q177" s="44"/>
      <c r="R177" s="44"/>
      <c r="S177" s="45"/>
      <c r="T177" s="44"/>
      <c r="U177" s="31"/>
    </row>
    <row r="178" ht="15.75" customHeight="1">
      <c r="A178" s="47"/>
      <c r="B178" s="47"/>
      <c r="C178" s="42" t="s">
        <v>42</v>
      </c>
      <c r="D178" s="43" t="s">
        <v>174</v>
      </c>
      <c r="E178" s="47"/>
      <c r="F178" s="44">
        <v>0</v>
      </c>
      <c r="G178" s="44">
        <v>0</v>
      </c>
      <c r="H178" s="45">
        <v>0</v>
      </c>
      <c r="I178" s="44">
        <v>34</v>
      </c>
      <c r="J178" s="44">
        <v>0</v>
      </c>
      <c r="K178" s="44">
        <v>0</v>
      </c>
      <c r="L178" s="44">
        <v>0</v>
      </c>
      <c r="M178" s="44">
        <v>2</v>
      </c>
      <c r="N178" s="45">
        <v>0</v>
      </c>
      <c r="O178" s="44">
        <v>0</v>
      </c>
      <c r="P178" s="44">
        <v>0</v>
      </c>
      <c r="Q178" s="44">
        <v>0</v>
      </c>
      <c r="R178" s="44">
        <v>0</v>
      </c>
      <c r="S178" s="45">
        <v>0</v>
      </c>
      <c r="T178" s="44">
        <v>20</v>
      </c>
      <c r="U178" s="31"/>
    </row>
    <row r="179" ht="15.75" customHeight="1">
      <c r="A179" s="47"/>
      <c r="B179" s="47"/>
      <c r="C179" s="42"/>
      <c r="D179" s="43" t="s">
        <v>173</v>
      </c>
      <c r="E179" s="47"/>
      <c r="F179" s="44"/>
      <c r="G179" s="44"/>
      <c r="H179" s="45"/>
      <c r="I179" s="44"/>
      <c r="J179" s="44"/>
      <c r="K179" s="44"/>
      <c r="L179" s="44"/>
      <c r="M179" s="44"/>
      <c r="N179" s="45"/>
      <c r="O179" s="44"/>
      <c r="P179" s="44"/>
      <c r="Q179" s="44"/>
      <c r="R179" s="44"/>
      <c r="S179" s="45"/>
      <c r="T179" s="44"/>
      <c r="U179" s="31"/>
    </row>
    <row r="180" ht="15.75" customHeight="1">
      <c r="A180" s="47"/>
      <c r="B180" s="47"/>
      <c r="C180" s="42" t="s">
        <v>42</v>
      </c>
      <c r="D180" s="43" t="s">
        <v>175</v>
      </c>
      <c r="E180" s="47"/>
      <c r="F180" s="44">
        <v>0</v>
      </c>
      <c r="G180" s="44">
        <v>0</v>
      </c>
      <c r="H180" s="45">
        <v>0</v>
      </c>
      <c r="I180" s="44">
        <v>34</v>
      </c>
      <c r="J180" s="44">
        <v>0</v>
      </c>
      <c r="K180" s="44">
        <v>0</v>
      </c>
      <c r="L180" s="44">
        <v>0</v>
      </c>
      <c r="M180" s="44">
        <v>2</v>
      </c>
      <c r="N180" s="45">
        <v>0</v>
      </c>
      <c r="O180" s="44">
        <v>0</v>
      </c>
      <c r="P180" s="44">
        <v>0</v>
      </c>
      <c r="Q180" s="44">
        <v>0</v>
      </c>
      <c r="R180" s="44">
        <v>0</v>
      </c>
      <c r="S180" s="45">
        <v>0</v>
      </c>
      <c r="T180" s="44">
        <v>20</v>
      </c>
      <c r="U180" s="31"/>
    </row>
    <row r="181" ht="15.75" customHeight="1">
      <c r="A181" s="47"/>
      <c r="B181" s="47"/>
      <c r="C181" s="42"/>
      <c r="D181" s="43" t="s">
        <v>173</v>
      </c>
      <c r="E181" s="47"/>
      <c r="F181" s="44"/>
      <c r="G181" s="44"/>
      <c r="H181" s="45"/>
      <c r="I181" s="44"/>
      <c r="J181" s="44"/>
      <c r="K181" s="44"/>
      <c r="L181" s="44"/>
      <c r="M181" s="44"/>
      <c r="N181" s="45"/>
      <c r="O181" s="44"/>
      <c r="P181" s="44"/>
      <c r="Q181" s="44"/>
      <c r="R181" s="44"/>
      <c r="S181" s="45"/>
      <c r="T181" s="44"/>
      <c r="U181" s="31"/>
    </row>
    <row r="182" ht="15.75" customHeight="1">
      <c r="A182" s="47"/>
      <c r="B182" s="47"/>
      <c r="C182" s="42" t="s">
        <v>42</v>
      </c>
      <c r="D182" s="43" t="s">
        <v>176</v>
      </c>
      <c r="E182" s="47"/>
      <c r="F182" s="44">
        <v>0</v>
      </c>
      <c r="G182" s="44">
        <v>0</v>
      </c>
      <c r="H182" s="45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5">
        <v>0</v>
      </c>
      <c r="O182" s="44">
        <v>36</v>
      </c>
      <c r="P182" s="44">
        <v>0</v>
      </c>
      <c r="Q182" s="44">
        <v>0</v>
      </c>
      <c r="R182" s="44">
        <v>0</v>
      </c>
      <c r="S182" s="45">
        <v>0</v>
      </c>
      <c r="T182" s="44">
        <v>20</v>
      </c>
      <c r="U182" s="31"/>
    </row>
    <row r="183" ht="15.75" customHeight="1">
      <c r="A183" s="47"/>
      <c r="B183" s="47"/>
      <c r="C183" s="42"/>
      <c r="D183" s="43" t="s">
        <v>173</v>
      </c>
      <c r="E183" s="47"/>
      <c r="F183" s="44"/>
      <c r="G183" s="44"/>
      <c r="H183" s="45"/>
      <c r="I183" s="44"/>
      <c r="J183" s="44"/>
      <c r="K183" s="44"/>
      <c r="L183" s="44"/>
      <c r="M183" s="44"/>
      <c r="N183" s="45"/>
      <c r="O183" s="44"/>
      <c r="P183" s="44"/>
      <c r="Q183" s="44"/>
      <c r="R183" s="44"/>
      <c r="S183" s="45"/>
      <c r="T183" s="44"/>
      <c r="U183" s="31"/>
    </row>
    <row r="184" ht="15.75" customHeight="1">
      <c r="A184" s="47"/>
      <c r="B184" s="47"/>
      <c r="C184" s="42" t="s">
        <v>42</v>
      </c>
      <c r="D184" s="43" t="s">
        <v>177</v>
      </c>
      <c r="E184" s="47"/>
      <c r="F184" s="44">
        <v>0</v>
      </c>
      <c r="G184" s="44">
        <v>0</v>
      </c>
      <c r="H184" s="45">
        <v>0</v>
      </c>
      <c r="I184" s="44">
        <v>34</v>
      </c>
      <c r="J184" s="44">
        <v>0</v>
      </c>
      <c r="K184" s="44">
        <v>0</v>
      </c>
      <c r="L184" s="44">
        <v>0</v>
      </c>
      <c r="M184" s="44">
        <v>2</v>
      </c>
      <c r="N184" s="45">
        <v>0</v>
      </c>
      <c r="O184" s="44">
        <v>0</v>
      </c>
      <c r="P184" s="44">
        <v>0</v>
      </c>
      <c r="Q184" s="44">
        <v>0</v>
      </c>
      <c r="R184" s="44">
        <v>0</v>
      </c>
      <c r="S184" s="45">
        <v>0</v>
      </c>
      <c r="T184" s="44">
        <v>20</v>
      </c>
      <c r="U184" s="31"/>
    </row>
    <row r="185" ht="15.75" customHeight="1">
      <c r="A185" s="46"/>
      <c r="B185" s="46"/>
      <c r="C185" s="42"/>
      <c r="D185" s="43" t="s">
        <v>173</v>
      </c>
      <c r="E185" s="46"/>
      <c r="F185" s="44"/>
      <c r="G185" s="44"/>
      <c r="H185" s="45"/>
      <c r="I185" s="44"/>
      <c r="J185" s="44"/>
      <c r="K185" s="44"/>
      <c r="L185" s="44"/>
      <c r="M185" s="44"/>
      <c r="N185" s="45"/>
      <c r="O185" s="44"/>
      <c r="P185" s="44"/>
      <c r="Q185" s="44"/>
      <c r="R185" s="44"/>
      <c r="S185" s="45"/>
      <c r="T185" s="44"/>
      <c r="U185" s="31"/>
    </row>
    <row r="186" ht="15.75" customHeight="1">
      <c r="A186" s="41" t="s">
        <v>153</v>
      </c>
      <c r="B186" s="41">
        <f>SUM(F186:S186)/36</f>
        <v>6</v>
      </c>
      <c r="C186" s="42" t="s">
        <v>154</v>
      </c>
      <c r="D186" s="43" t="s">
        <v>243</v>
      </c>
      <c r="E186" s="41" t="s">
        <v>156</v>
      </c>
      <c r="F186" s="44">
        <v>58</v>
      </c>
      <c r="G186" s="44">
        <v>0</v>
      </c>
      <c r="H186" s="45">
        <v>2</v>
      </c>
      <c r="I186" s="44">
        <v>54</v>
      </c>
      <c r="J186" s="44">
        <v>0</v>
      </c>
      <c r="K186" s="44">
        <v>6</v>
      </c>
      <c r="L186" s="44">
        <v>2</v>
      </c>
      <c r="M186" s="44">
        <v>0</v>
      </c>
      <c r="N186" s="45">
        <v>4</v>
      </c>
      <c r="O186" s="44">
        <v>0</v>
      </c>
      <c r="P186" s="44">
        <v>0</v>
      </c>
      <c r="Q186" s="44">
        <v>59</v>
      </c>
      <c r="R186" s="44">
        <v>0</v>
      </c>
      <c r="S186" s="45">
        <v>31</v>
      </c>
      <c r="T186" s="44">
        <v>56</v>
      </c>
      <c r="U186" s="31"/>
    </row>
    <row r="187" ht="15.75" customHeight="1">
      <c r="A187" s="46"/>
      <c r="B187" s="46"/>
      <c r="C187" s="42"/>
      <c r="D187" s="43" t="s">
        <v>244</v>
      </c>
      <c r="E187" s="46"/>
      <c r="F187" s="44"/>
      <c r="G187" s="44"/>
      <c r="H187" s="45"/>
      <c r="I187" s="44"/>
      <c r="J187" s="44"/>
      <c r="K187" s="44"/>
      <c r="L187" s="44"/>
      <c r="M187" s="44"/>
      <c r="N187" s="45"/>
      <c r="O187" s="44"/>
      <c r="P187" s="44"/>
      <c r="Q187" s="44"/>
      <c r="R187" s="44"/>
      <c r="S187" s="45"/>
      <c r="T187" s="44"/>
      <c r="U187" s="31"/>
    </row>
    <row r="188" ht="15.75" customHeight="1">
      <c r="A188" s="41" t="s">
        <v>153</v>
      </c>
      <c r="B188" s="41">
        <f>SUM(F188:S188)/36</f>
        <v>4</v>
      </c>
      <c r="C188" s="42" t="s">
        <v>178</v>
      </c>
      <c r="D188" s="43" t="s">
        <v>179</v>
      </c>
      <c r="E188" s="41" t="s">
        <v>156</v>
      </c>
      <c r="F188" s="44">
        <v>30</v>
      </c>
      <c r="G188" s="44">
        <v>0</v>
      </c>
      <c r="H188" s="45">
        <v>2</v>
      </c>
      <c r="I188" s="44">
        <v>28</v>
      </c>
      <c r="J188" s="44">
        <v>0</v>
      </c>
      <c r="K188" s="44">
        <v>2</v>
      </c>
      <c r="L188" s="44">
        <v>0</v>
      </c>
      <c r="M188" s="44">
        <v>0</v>
      </c>
      <c r="N188" s="45">
        <v>4</v>
      </c>
      <c r="O188" s="44">
        <v>0</v>
      </c>
      <c r="P188" s="44">
        <v>0</v>
      </c>
      <c r="Q188" s="44">
        <v>47</v>
      </c>
      <c r="R188" s="44">
        <v>0</v>
      </c>
      <c r="S188" s="45">
        <v>31</v>
      </c>
      <c r="T188" s="44">
        <v>28</v>
      </c>
      <c r="U188" s="31"/>
    </row>
    <row r="189" ht="15.75" customHeight="1">
      <c r="A189" s="46"/>
      <c r="B189" s="46"/>
      <c r="C189" s="42"/>
      <c r="D189" s="43" t="s">
        <v>180</v>
      </c>
      <c r="E189" s="46"/>
      <c r="F189" s="44"/>
      <c r="G189" s="44"/>
      <c r="H189" s="45"/>
      <c r="I189" s="44"/>
      <c r="J189" s="44"/>
      <c r="K189" s="44"/>
      <c r="L189" s="44"/>
      <c r="M189" s="44"/>
      <c r="N189" s="45"/>
      <c r="O189" s="44"/>
      <c r="P189" s="44"/>
      <c r="Q189" s="44"/>
      <c r="R189" s="44"/>
      <c r="S189" s="45"/>
      <c r="T189" s="44"/>
      <c r="U189" s="31"/>
    </row>
    <row r="190" ht="15.75" customHeight="1">
      <c r="A190" s="41" t="s">
        <v>153</v>
      </c>
      <c r="B190" s="41">
        <f>SUM(F190:S190)/36</f>
        <v>2</v>
      </c>
      <c r="C190" s="42" t="s">
        <v>181</v>
      </c>
      <c r="D190" s="43" t="s">
        <v>184</v>
      </c>
      <c r="E190" s="41" t="s">
        <v>160</v>
      </c>
      <c r="F190" s="44">
        <v>60</v>
      </c>
      <c r="G190" s="44">
        <v>0</v>
      </c>
      <c r="H190" s="45">
        <v>4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5">
        <v>2</v>
      </c>
      <c r="O190" s="44">
        <v>0</v>
      </c>
      <c r="P190" s="44">
        <v>0</v>
      </c>
      <c r="Q190" s="44">
        <v>6</v>
      </c>
      <c r="R190" s="44">
        <v>0</v>
      </c>
      <c r="S190" s="45">
        <v>0</v>
      </c>
      <c r="T190" s="44">
        <v>0</v>
      </c>
      <c r="U190" s="31"/>
    </row>
    <row r="191" ht="15.75" customHeight="1">
      <c r="A191" s="46"/>
      <c r="B191" s="46"/>
      <c r="C191" s="42"/>
      <c r="D191" s="43" t="s">
        <v>185</v>
      </c>
      <c r="E191" s="46"/>
      <c r="F191" s="44"/>
      <c r="G191" s="44"/>
      <c r="H191" s="45"/>
      <c r="I191" s="44"/>
      <c r="J191" s="44"/>
      <c r="K191" s="44"/>
      <c r="L191" s="44"/>
      <c r="M191" s="44"/>
      <c r="N191" s="45"/>
      <c r="O191" s="44"/>
      <c r="P191" s="44"/>
      <c r="Q191" s="44"/>
      <c r="R191" s="44"/>
      <c r="S191" s="45"/>
      <c r="T191" s="44"/>
      <c r="U191" s="31"/>
    </row>
    <row r="192" ht="17.25" customHeight="1">
      <c r="A192" s="60" t="s">
        <v>245</v>
      </c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50"/>
      <c r="U192" s="31"/>
    </row>
    <row r="193" ht="15.75" customHeight="1">
      <c r="A193" s="41" t="s">
        <v>153</v>
      </c>
      <c r="B193" s="41">
        <f>SUM(F193:S193)/36</f>
        <v>3</v>
      </c>
      <c r="C193" s="42" t="s">
        <v>246</v>
      </c>
      <c r="D193" s="43" t="s">
        <v>159</v>
      </c>
      <c r="E193" s="41" t="s">
        <v>160</v>
      </c>
      <c r="F193" s="44">
        <v>0</v>
      </c>
      <c r="G193" s="44">
        <v>0</v>
      </c>
      <c r="H193" s="45">
        <v>0</v>
      </c>
      <c r="I193" s="44">
        <v>54</v>
      </c>
      <c r="J193" s="44">
        <v>0</v>
      </c>
      <c r="K193" s="44">
        <v>0</v>
      </c>
      <c r="L193" s="44">
        <v>0</v>
      </c>
      <c r="M193" s="44">
        <v>6</v>
      </c>
      <c r="N193" s="45">
        <v>2</v>
      </c>
      <c r="O193" s="44">
        <v>0</v>
      </c>
      <c r="P193" s="44">
        <v>0</v>
      </c>
      <c r="Q193" s="44">
        <v>39</v>
      </c>
      <c r="R193" s="44">
        <v>0</v>
      </c>
      <c r="S193" s="45">
        <v>7</v>
      </c>
      <c r="T193" s="44">
        <v>22</v>
      </c>
      <c r="U193" s="31"/>
    </row>
    <row r="194" ht="15.75" customHeight="1">
      <c r="A194" s="46"/>
      <c r="B194" s="46"/>
      <c r="C194" s="42"/>
      <c r="D194" s="43" t="s">
        <v>161</v>
      </c>
      <c r="E194" s="46"/>
      <c r="F194" s="44"/>
      <c r="G194" s="44"/>
      <c r="H194" s="45"/>
      <c r="I194" s="44"/>
      <c r="J194" s="44"/>
      <c r="K194" s="44"/>
      <c r="L194" s="44"/>
      <c r="M194" s="44"/>
      <c r="N194" s="45"/>
      <c r="O194" s="44"/>
      <c r="P194" s="44"/>
      <c r="Q194" s="44"/>
      <c r="R194" s="44"/>
      <c r="S194" s="45"/>
      <c r="T194" s="44"/>
      <c r="U194" s="31"/>
    </row>
    <row r="195" ht="17.25" customHeight="1">
      <c r="A195" s="60" t="s">
        <v>247</v>
      </c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50"/>
      <c r="U195" s="31"/>
    </row>
    <row r="196" ht="15.75" customHeight="1">
      <c r="A196" s="41" t="s">
        <v>248</v>
      </c>
      <c r="B196" s="41">
        <f>SUM(F196:S196)/36</f>
        <v>3</v>
      </c>
      <c r="C196" s="42" t="s">
        <v>249</v>
      </c>
      <c r="D196" s="43" t="s">
        <v>250</v>
      </c>
      <c r="E196" s="41" t="s">
        <v>251</v>
      </c>
      <c r="F196" s="44">
        <v>0</v>
      </c>
      <c r="G196" s="44">
        <v>0</v>
      </c>
      <c r="H196" s="45">
        <v>0</v>
      </c>
      <c r="I196" s="44">
        <v>54</v>
      </c>
      <c r="J196" s="44">
        <v>0</v>
      </c>
      <c r="K196" s="44">
        <v>0</v>
      </c>
      <c r="L196" s="44">
        <v>0</v>
      </c>
      <c r="M196" s="44">
        <v>6</v>
      </c>
      <c r="N196" s="45">
        <v>2</v>
      </c>
      <c r="O196" s="44">
        <v>0</v>
      </c>
      <c r="P196" s="44">
        <v>0</v>
      </c>
      <c r="Q196" s="44">
        <v>39</v>
      </c>
      <c r="R196" s="44">
        <v>0</v>
      </c>
      <c r="S196" s="45">
        <v>7</v>
      </c>
      <c r="T196" s="44">
        <v>22</v>
      </c>
      <c r="U196" s="31"/>
    </row>
    <row r="197" ht="15.75" customHeight="1">
      <c r="A197" s="46"/>
      <c r="B197" s="46"/>
      <c r="C197" s="42"/>
      <c r="D197" s="43" t="s">
        <v>252</v>
      </c>
      <c r="E197" s="46"/>
      <c r="F197" s="44"/>
      <c r="G197" s="44"/>
      <c r="H197" s="45"/>
      <c r="I197" s="44"/>
      <c r="J197" s="44"/>
      <c r="K197" s="44"/>
      <c r="L197" s="44"/>
      <c r="M197" s="44"/>
      <c r="N197" s="45"/>
      <c r="O197" s="44"/>
      <c r="P197" s="44"/>
      <c r="Q197" s="44"/>
      <c r="R197" s="44"/>
      <c r="S197" s="45"/>
      <c r="T197" s="44"/>
      <c r="U197" s="31"/>
    </row>
    <row r="198" ht="17.25" customHeight="1">
      <c r="A198" s="40" t="s">
        <v>186</v>
      </c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6"/>
      <c r="U198" s="31"/>
    </row>
    <row r="199" ht="17.25" customHeight="1">
      <c r="A199" s="48" t="s">
        <v>187</v>
      </c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50"/>
      <c r="U199" s="31"/>
    </row>
    <row r="200" ht="17.25" customHeight="1">
      <c r="A200" s="51" t="s">
        <v>188</v>
      </c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50"/>
      <c r="U200" s="31"/>
    </row>
    <row r="201" ht="15.75" customHeight="1">
      <c r="A201" s="41" t="s">
        <v>153</v>
      </c>
      <c r="B201" s="41">
        <v>3</v>
      </c>
      <c r="C201" s="42" t="s">
        <v>36</v>
      </c>
      <c r="D201" s="43" t="s">
        <v>189</v>
      </c>
      <c r="E201" s="41" t="s">
        <v>160</v>
      </c>
      <c r="F201" s="44">
        <v>0</v>
      </c>
      <c r="G201" s="44">
        <v>0</v>
      </c>
      <c r="H201" s="45">
        <v>0</v>
      </c>
      <c r="I201" s="44">
        <v>58</v>
      </c>
      <c r="J201" s="44">
        <v>0</v>
      </c>
      <c r="K201" s="44">
        <v>0</v>
      </c>
      <c r="L201" s="44">
        <v>0</v>
      </c>
      <c r="M201" s="44">
        <v>0</v>
      </c>
      <c r="N201" s="45">
        <v>2</v>
      </c>
      <c r="O201" s="44">
        <v>18</v>
      </c>
      <c r="P201" s="44">
        <v>30</v>
      </c>
      <c r="Q201" s="44">
        <v>0</v>
      </c>
      <c r="R201" s="44">
        <v>0</v>
      </c>
      <c r="S201" s="45">
        <v>0</v>
      </c>
      <c r="T201" s="44">
        <v>108</v>
      </c>
      <c r="U201" s="31"/>
    </row>
    <row r="202" ht="15.75" customHeight="1">
      <c r="A202" s="46"/>
      <c r="B202" s="46"/>
      <c r="C202" s="42"/>
      <c r="D202" s="43" t="s">
        <v>190</v>
      </c>
      <c r="E202" s="46"/>
      <c r="F202" s="44"/>
      <c r="G202" s="44"/>
      <c r="H202" s="45"/>
      <c r="I202" s="44"/>
      <c r="J202" s="44"/>
      <c r="K202" s="44"/>
      <c r="L202" s="44"/>
      <c r="M202" s="44"/>
      <c r="N202" s="45"/>
      <c r="O202" s="44"/>
      <c r="P202" s="44"/>
      <c r="Q202" s="44"/>
      <c r="R202" s="44"/>
      <c r="S202" s="45"/>
      <c r="T202" s="44"/>
      <c r="U202" s="31"/>
    </row>
    <row r="203" ht="17.25" customHeight="1">
      <c r="A203" s="51" t="s">
        <v>191</v>
      </c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50"/>
      <c r="U203" s="31"/>
    </row>
    <row r="204" ht="15.75" customHeight="1">
      <c r="A204" s="41" t="s">
        <v>153</v>
      </c>
      <c r="B204" s="41">
        <v>3</v>
      </c>
      <c r="C204" s="42" t="s">
        <v>36</v>
      </c>
      <c r="D204" s="43" t="s">
        <v>192</v>
      </c>
      <c r="E204" s="41" t="s">
        <v>160</v>
      </c>
      <c r="F204" s="44">
        <v>0</v>
      </c>
      <c r="G204" s="44">
        <v>0</v>
      </c>
      <c r="H204" s="45">
        <v>0</v>
      </c>
      <c r="I204" s="44">
        <v>58</v>
      </c>
      <c r="J204" s="44">
        <v>0</v>
      </c>
      <c r="K204" s="44">
        <v>0</v>
      </c>
      <c r="L204" s="44">
        <v>0</v>
      </c>
      <c r="M204" s="44">
        <v>0</v>
      </c>
      <c r="N204" s="45">
        <v>2</v>
      </c>
      <c r="O204" s="44">
        <v>48</v>
      </c>
      <c r="P204" s="44">
        <v>0</v>
      </c>
      <c r="Q204" s="44">
        <v>0</v>
      </c>
      <c r="R204" s="44">
        <v>0</v>
      </c>
      <c r="S204" s="45">
        <v>0</v>
      </c>
      <c r="T204" s="44">
        <v>108</v>
      </c>
      <c r="U204" s="31"/>
    </row>
    <row r="205" ht="15.75" customHeight="1">
      <c r="A205" s="46"/>
      <c r="B205" s="46"/>
      <c r="C205" s="42"/>
      <c r="D205" s="43" t="s">
        <v>190</v>
      </c>
      <c r="E205" s="46"/>
      <c r="F205" s="44"/>
      <c r="G205" s="44"/>
      <c r="H205" s="45"/>
      <c r="I205" s="44"/>
      <c r="J205" s="44"/>
      <c r="K205" s="44"/>
      <c r="L205" s="44"/>
      <c r="M205" s="44"/>
      <c r="N205" s="45"/>
      <c r="O205" s="44"/>
      <c r="P205" s="44"/>
      <c r="Q205" s="44"/>
      <c r="R205" s="44"/>
      <c r="S205" s="45"/>
      <c r="T205" s="44"/>
      <c r="U205" s="31"/>
    </row>
    <row r="206" ht="17.25" customHeight="1">
      <c r="A206" s="51" t="s">
        <v>193</v>
      </c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50"/>
      <c r="U206" s="31"/>
    </row>
    <row r="207" ht="15.75" customHeight="1">
      <c r="A207" s="41" t="s">
        <v>153</v>
      </c>
      <c r="B207" s="41">
        <v>3</v>
      </c>
      <c r="C207" s="42" t="s">
        <v>36</v>
      </c>
      <c r="D207" s="43" t="s">
        <v>194</v>
      </c>
      <c r="E207" s="41" t="s">
        <v>160</v>
      </c>
      <c r="F207" s="44">
        <v>0</v>
      </c>
      <c r="G207" s="44">
        <v>0</v>
      </c>
      <c r="H207" s="45">
        <v>0</v>
      </c>
      <c r="I207" s="44">
        <v>58</v>
      </c>
      <c r="J207" s="44">
        <v>0</v>
      </c>
      <c r="K207" s="44">
        <v>0</v>
      </c>
      <c r="L207" s="44">
        <v>0</v>
      </c>
      <c r="M207" s="44">
        <v>0</v>
      </c>
      <c r="N207" s="45">
        <v>2</v>
      </c>
      <c r="O207" s="44">
        <v>48</v>
      </c>
      <c r="P207" s="44">
        <v>0</v>
      </c>
      <c r="Q207" s="44">
        <v>0</v>
      </c>
      <c r="R207" s="44">
        <v>0</v>
      </c>
      <c r="S207" s="45">
        <v>0</v>
      </c>
      <c r="T207" s="44">
        <v>108</v>
      </c>
      <c r="U207" s="31"/>
    </row>
    <row r="208" ht="15.75" customHeight="1">
      <c r="A208" s="46"/>
      <c r="B208" s="46"/>
      <c r="C208" s="42"/>
      <c r="D208" s="43" t="s">
        <v>190</v>
      </c>
      <c r="E208" s="46"/>
      <c r="F208" s="44"/>
      <c r="G208" s="44"/>
      <c r="H208" s="45"/>
      <c r="I208" s="44"/>
      <c r="J208" s="44"/>
      <c r="K208" s="44"/>
      <c r="L208" s="44"/>
      <c r="M208" s="44"/>
      <c r="N208" s="45"/>
      <c r="O208" s="44"/>
      <c r="P208" s="44"/>
      <c r="Q208" s="44"/>
      <c r="R208" s="44"/>
      <c r="S208" s="45"/>
      <c r="T208" s="44"/>
      <c r="U208" s="31"/>
    </row>
    <row r="209" ht="17.25" customHeight="1">
      <c r="A209" s="51" t="s">
        <v>195</v>
      </c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50"/>
      <c r="U209" s="31"/>
    </row>
    <row r="210" ht="15.75" customHeight="1">
      <c r="A210" s="41" t="s">
        <v>153</v>
      </c>
      <c r="B210" s="41">
        <v>3</v>
      </c>
      <c r="C210" s="42" t="s">
        <v>36</v>
      </c>
      <c r="D210" s="43" t="s">
        <v>196</v>
      </c>
      <c r="E210" s="41" t="s">
        <v>160</v>
      </c>
      <c r="F210" s="44">
        <v>0</v>
      </c>
      <c r="G210" s="44">
        <v>0</v>
      </c>
      <c r="H210" s="45">
        <v>0</v>
      </c>
      <c r="I210" s="44">
        <v>30</v>
      </c>
      <c r="J210" s="44">
        <v>0</v>
      </c>
      <c r="K210" s="44">
        <v>0</v>
      </c>
      <c r="L210" s="44">
        <v>0</v>
      </c>
      <c r="M210" s="44">
        <v>0</v>
      </c>
      <c r="N210" s="45">
        <v>2</v>
      </c>
      <c r="O210" s="44">
        <v>76</v>
      </c>
      <c r="P210" s="44">
        <v>0</v>
      </c>
      <c r="Q210" s="44">
        <v>0</v>
      </c>
      <c r="R210" s="44">
        <v>0</v>
      </c>
      <c r="S210" s="45">
        <v>0</v>
      </c>
      <c r="T210" s="44">
        <v>108</v>
      </c>
      <c r="U210" s="31"/>
    </row>
    <row r="211" ht="15.75" customHeight="1">
      <c r="A211" s="46"/>
      <c r="B211" s="46"/>
      <c r="C211" s="42"/>
      <c r="D211" s="43" t="s">
        <v>190</v>
      </c>
      <c r="E211" s="46"/>
      <c r="F211" s="44"/>
      <c r="G211" s="44"/>
      <c r="H211" s="45"/>
      <c r="I211" s="44"/>
      <c r="J211" s="44"/>
      <c r="K211" s="44"/>
      <c r="L211" s="44"/>
      <c r="M211" s="44"/>
      <c r="N211" s="45"/>
      <c r="O211" s="44"/>
      <c r="P211" s="44"/>
      <c r="Q211" s="44"/>
      <c r="R211" s="44"/>
      <c r="S211" s="45"/>
      <c r="T211" s="44"/>
      <c r="U211" s="31"/>
    </row>
    <row r="212" ht="17.25" customHeight="1">
      <c r="A212" s="51" t="s">
        <v>197</v>
      </c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50"/>
      <c r="U212" s="31"/>
    </row>
    <row r="213" ht="15.75" customHeight="1">
      <c r="A213" s="41" t="s">
        <v>153</v>
      </c>
      <c r="B213" s="41">
        <v>3</v>
      </c>
      <c r="C213" s="42" t="s">
        <v>36</v>
      </c>
      <c r="D213" s="43" t="s">
        <v>198</v>
      </c>
      <c r="E213" s="41" t="s">
        <v>160</v>
      </c>
      <c r="F213" s="44">
        <v>0</v>
      </c>
      <c r="G213" s="44">
        <v>0</v>
      </c>
      <c r="H213" s="45">
        <v>0</v>
      </c>
      <c r="I213" s="44">
        <v>58</v>
      </c>
      <c r="J213" s="44">
        <v>0</v>
      </c>
      <c r="K213" s="44">
        <v>0</v>
      </c>
      <c r="L213" s="44">
        <v>0</v>
      </c>
      <c r="M213" s="44">
        <v>0</v>
      </c>
      <c r="N213" s="45">
        <v>2</v>
      </c>
      <c r="O213" s="44">
        <v>18</v>
      </c>
      <c r="P213" s="44">
        <v>30</v>
      </c>
      <c r="Q213" s="44">
        <v>0</v>
      </c>
      <c r="R213" s="44">
        <v>0</v>
      </c>
      <c r="S213" s="45">
        <v>0</v>
      </c>
      <c r="T213" s="44">
        <v>108</v>
      </c>
      <c r="U213" s="31"/>
    </row>
    <row r="214" ht="15.75" customHeight="1">
      <c r="A214" s="46"/>
      <c r="B214" s="46"/>
      <c r="C214" s="42"/>
      <c r="D214" s="43" t="s">
        <v>199</v>
      </c>
      <c r="E214" s="46"/>
      <c r="F214" s="44"/>
      <c r="G214" s="44"/>
      <c r="H214" s="45"/>
      <c r="I214" s="44"/>
      <c r="J214" s="44"/>
      <c r="K214" s="44"/>
      <c r="L214" s="44"/>
      <c r="M214" s="44"/>
      <c r="N214" s="45"/>
      <c r="O214" s="44"/>
      <c r="P214" s="44"/>
      <c r="Q214" s="44"/>
      <c r="R214" s="44"/>
      <c r="S214" s="45"/>
      <c r="T214" s="44"/>
      <c r="U214" s="31"/>
    </row>
    <row r="215" ht="17.25" customHeight="1">
      <c r="A215" s="51" t="s">
        <v>200</v>
      </c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50"/>
      <c r="U215" s="31"/>
    </row>
    <row r="216" ht="15.75" customHeight="1">
      <c r="A216" s="41" t="s">
        <v>153</v>
      </c>
      <c r="B216" s="41">
        <v>3</v>
      </c>
      <c r="C216" s="42" t="s">
        <v>36</v>
      </c>
      <c r="D216" s="43" t="s">
        <v>201</v>
      </c>
      <c r="E216" s="41" t="s">
        <v>160</v>
      </c>
      <c r="F216" s="44">
        <v>0</v>
      </c>
      <c r="G216" s="44">
        <v>0</v>
      </c>
      <c r="H216" s="45">
        <v>0</v>
      </c>
      <c r="I216" s="44">
        <v>58</v>
      </c>
      <c r="J216" s="44">
        <v>0</v>
      </c>
      <c r="K216" s="44">
        <v>0</v>
      </c>
      <c r="L216" s="44">
        <v>0</v>
      </c>
      <c r="M216" s="44">
        <v>0</v>
      </c>
      <c r="N216" s="45">
        <v>2</v>
      </c>
      <c r="O216" s="44">
        <v>48</v>
      </c>
      <c r="P216" s="44">
        <v>0</v>
      </c>
      <c r="Q216" s="44">
        <v>0</v>
      </c>
      <c r="R216" s="44">
        <v>0</v>
      </c>
      <c r="S216" s="45">
        <v>0</v>
      </c>
      <c r="T216" s="44">
        <v>108</v>
      </c>
      <c r="U216" s="31"/>
    </row>
    <row r="217" ht="15.75" customHeight="1">
      <c r="A217" s="46"/>
      <c r="B217" s="46"/>
      <c r="C217" s="42"/>
      <c r="D217" s="43" t="s">
        <v>199</v>
      </c>
      <c r="E217" s="46"/>
      <c r="F217" s="44"/>
      <c r="G217" s="44"/>
      <c r="H217" s="45"/>
      <c r="I217" s="44"/>
      <c r="J217" s="44"/>
      <c r="K217" s="44"/>
      <c r="L217" s="44"/>
      <c r="M217" s="44"/>
      <c r="N217" s="45"/>
      <c r="O217" s="44"/>
      <c r="P217" s="44"/>
      <c r="Q217" s="44"/>
      <c r="R217" s="44"/>
      <c r="S217" s="45"/>
      <c r="T217" s="44"/>
      <c r="U217" s="31"/>
    </row>
    <row r="218" ht="17.25" customHeight="1">
      <c r="A218" s="40" t="s">
        <v>202</v>
      </c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6"/>
      <c r="U218" s="31"/>
    </row>
    <row r="219" ht="17.25" customHeight="1">
      <c r="A219" s="48" t="s">
        <v>203</v>
      </c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50"/>
      <c r="U219" s="31"/>
    </row>
    <row r="220" ht="17.25" customHeight="1">
      <c r="A220" s="48" t="s">
        <v>204</v>
      </c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50"/>
      <c r="U220" s="31"/>
    </row>
    <row r="221" ht="15.75" customHeight="1">
      <c r="A221" s="41" t="s">
        <v>153</v>
      </c>
      <c r="B221" s="41">
        <v>2</v>
      </c>
      <c r="C221" s="42" t="s">
        <v>181</v>
      </c>
      <c r="D221" s="43" t="s">
        <v>253</v>
      </c>
      <c r="E221" s="41" t="s">
        <v>160</v>
      </c>
      <c r="F221" s="44">
        <v>0</v>
      </c>
      <c r="G221" s="44">
        <v>0</v>
      </c>
      <c r="H221" s="45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5">
        <v>1</v>
      </c>
      <c r="O221" s="44">
        <v>0</v>
      </c>
      <c r="P221" s="44">
        <v>0</v>
      </c>
      <c r="Q221" s="44">
        <v>60</v>
      </c>
      <c r="R221" s="44">
        <v>11</v>
      </c>
      <c r="S221" s="45">
        <v>0</v>
      </c>
      <c r="T221" s="44">
        <v>0</v>
      </c>
      <c r="U221" s="31"/>
    </row>
    <row r="222" ht="15.75" customHeight="1">
      <c r="A222" s="46"/>
      <c r="B222" s="46"/>
      <c r="C222" s="42"/>
      <c r="D222" s="43" t="s">
        <v>230</v>
      </c>
      <c r="E222" s="46"/>
      <c r="F222" s="44"/>
      <c r="G222" s="44"/>
      <c r="H222" s="45"/>
      <c r="I222" s="44"/>
      <c r="J222" s="44"/>
      <c r="K222" s="44"/>
      <c r="L222" s="44"/>
      <c r="M222" s="44"/>
      <c r="N222" s="45"/>
      <c r="O222" s="44"/>
      <c r="P222" s="44"/>
      <c r="Q222" s="44"/>
      <c r="R222" s="44"/>
      <c r="S222" s="45"/>
      <c r="T222" s="44"/>
      <c r="U222" s="31"/>
    </row>
    <row r="223" ht="15.75" customHeight="1">
      <c r="A223" s="41" t="s">
        <v>153</v>
      </c>
      <c r="B223" s="44" t="s">
        <v>205</v>
      </c>
      <c r="C223" s="42" t="s">
        <v>36</v>
      </c>
      <c r="D223" s="43" t="s">
        <v>206</v>
      </c>
      <c r="E223" s="44" t="s">
        <v>207</v>
      </c>
      <c r="F223" s="52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4"/>
      <c r="U223" s="31"/>
    </row>
    <row r="224" ht="15.75" customHeight="1">
      <c r="A224" s="47"/>
      <c r="B224" s="44" t="s">
        <v>208</v>
      </c>
      <c r="C224" s="42"/>
      <c r="D224" s="43" t="s">
        <v>254</v>
      </c>
      <c r="E224" s="44" t="s">
        <v>210</v>
      </c>
      <c r="F224" s="5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56"/>
      <c r="U224" s="31"/>
    </row>
    <row r="225" ht="15.75" customHeight="1">
      <c r="A225" s="47"/>
      <c r="B225" s="44"/>
      <c r="C225" s="42"/>
      <c r="D225" s="43" t="s">
        <v>255</v>
      </c>
      <c r="E225" s="44"/>
      <c r="F225" s="57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9"/>
      <c r="U225" s="31"/>
    </row>
    <row r="226" ht="15.75" customHeight="1">
      <c r="A226" s="47"/>
      <c r="B226" s="44"/>
      <c r="C226" s="42"/>
      <c r="D226" s="43" t="s">
        <v>212</v>
      </c>
      <c r="E226" s="44" t="s">
        <v>213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4"/>
      <c r="U226" s="31"/>
    </row>
    <row r="227" ht="15.75" customHeight="1">
      <c r="A227" s="46"/>
      <c r="B227" s="44"/>
      <c r="C227" s="42"/>
      <c r="D227" s="43"/>
      <c r="E227" s="44" t="s">
        <v>214</v>
      </c>
      <c r="F227" s="57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9"/>
      <c r="U227" s="31"/>
    </row>
    <row r="228" ht="15.75" customHeight="1">
      <c r="A228" s="41"/>
      <c r="B228" s="41">
        <v>2</v>
      </c>
      <c r="C228" s="42" t="s">
        <v>36</v>
      </c>
      <c r="D228" s="43" t="s">
        <v>256</v>
      </c>
      <c r="E228" s="41" t="s">
        <v>160</v>
      </c>
      <c r="F228" s="44">
        <v>0</v>
      </c>
      <c r="G228" s="44">
        <v>0</v>
      </c>
      <c r="H228" s="45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5">
        <v>2</v>
      </c>
      <c r="O228" s="44">
        <v>0</v>
      </c>
      <c r="P228" s="44">
        <v>0</v>
      </c>
      <c r="Q228" s="44">
        <v>70</v>
      </c>
      <c r="R228" s="44">
        <v>0</v>
      </c>
      <c r="S228" s="45">
        <v>0</v>
      </c>
      <c r="T228" s="44">
        <v>0</v>
      </c>
      <c r="U228" s="31"/>
    </row>
    <row r="229" ht="15.75" customHeight="1">
      <c r="A229" s="47"/>
      <c r="B229" s="46"/>
      <c r="C229" s="42"/>
      <c r="D229" s="43" t="s">
        <v>216</v>
      </c>
      <c r="E229" s="46"/>
      <c r="F229" s="44"/>
      <c r="G229" s="44"/>
      <c r="H229" s="45"/>
      <c r="I229" s="44"/>
      <c r="J229" s="44"/>
      <c r="K229" s="44"/>
      <c r="L229" s="44"/>
      <c r="M229" s="44"/>
      <c r="N229" s="45"/>
      <c r="O229" s="44"/>
      <c r="P229" s="44"/>
      <c r="Q229" s="44"/>
      <c r="R229" s="44"/>
      <c r="S229" s="45"/>
      <c r="T229" s="44"/>
      <c r="U229" s="31"/>
    </row>
    <row r="230" ht="15.75" customHeight="1">
      <c r="A230" s="47"/>
      <c r="B230" s="41">
        <v>2</v>
      </c>
      <c r="C230" s="42" t="s">
        <v>36</v>
      </c>
      <c r="D230" s="43" t="s">
        <v>257</v>
      </c>
      <c r="E230" s="41" t="s">
        <v>160</v>
      </c>
      <c r="F230" s="44">
        <v>0</v>
      </c>
      <c r="G230" s="44">
        <v>0</v>
      </c>
      <c r="H230" s="45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5">
        <v>2</v>
      </c>
      <c r="O230" s="44">
        <v>0</v>
      </c>
      <c r="P230" s="44">
        <v>0</v>
      </c>
      <c r="Q230" s="44">
        <v>70</v>
      </c>
      <c r="R230" s="44">
        <v>0</v>
      </c>
      <c r="S230" s="45">
        <v>0</v>
      </c>
      <c r="T230" s="44">
        <v>0</v>
      </c>
      <c r="U230" s="31"/>
    </row>
    <row r="231" ht="15.75" customHeight="1">
      <c r="A231" s="47"/>
      <c r="B231" s="46"/>
      <c r="C231" s="42"/>
      <c r="D231" s="43" t="s">
        <v>218</v>
      </c>
      <c r="E231" s="46"/>
      <c r="F231" s="44"/>
      <c r="G231" s="44"/>
      <c r="H231" s="45"/>
      <c r="I231" s="44"/>
      <c r="J231" s="44"/>
      <c r="K231" s="44"/>
      <c r="L231" s="44"/>
      <c r="M231" s="44"/>
      <c r="N231" s="45"/>
      <c r="O231" s="44"/>
      <c r="P231" s="44"/>
      <c r="Q231" s="44"/>
      <c r="R231" s="44"/>
      <c r="S231" s="45"/>
      <c r="T231" s="44"/>
      <c r="U231" s="31"/>
    </row>
    <row r="232" ht="15.75" customHeight="1">
      <c r="A232" s="47"/>
      <c r="B232" s="41">
        <v>1</v>
      </c>
      <c r="C232" s="42" t="s">
        <v>36</v>
      </c>
      <c r="D232" s="43" t="s">
        <v>258</v>
      </c>
      <c r="E232" s="41" t="s">
        <v>160</v>
      </c>
      <c r="F232" s="44">
        <v>0</v>
      </c>
      <c r="G232" s="44">
        <v>0</v>
      </c>
      <c r="H232" s="45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5">
        <v>2</v>
      </c>
      <c r="O232" s="44">
        <v>0</v>
      </c>
      <c r="P232" s="44">
        <v>0</v>
      </c>
      <c r="Q232" s="44">
        <v>34</v>
      </c>
      <c r="R232" s="44">
        <v>0</v>
      </c>
      <c r="S232" s="45">
        <v>0</v>
      </c>
      <c r="T232" s="44">
        <v>0</v>
      </c>
      <c r="U232" s="31"/>
    </row>
    <row r="233" ht="15.75" customHeight="1">
      <c r="A233" s="47"/>
      <c r="B233" s="46"/>
      <c r="C233" s="42"/>
      <c r="D233" s="43" t="s">
        <v>220</v>
      </c>
      <c r="E233" s="46"/>
      <c r="F233" s="44"/>
      <c r="G233" s="44"/>
      <c r="H233" s="45"/>
      <c r="I233" s="44"/>
      <c r="J233" s="44"/>
      <c r="K233" s="44"/>
      <c r="L233" s="44"/>
      <c r="M233" s="44"/>
      <c r="N233" s="45"/>
      <c r="O233" s="44"/>
      <c r="P233" s="44"/>
      <c r="Q233" s="44"/>
      <c r="R233" s="44"/>
      <c r="S233" s="45"/>
      <c r="T233" s="44"/>
      <c r="U233" s="31"/>
    </row>
    <row r="234" ht="15.75" customHeight="1">
      <c r="A234" s="47"/>
      <c r="B234" s="41">
        <v>1</v>
      </c>
      <c r="C234" s="42" t="s">
        <v>36</v>
      </c>
      <c r="D234" s="43" t="s">
        <v>259</v>
      </c>
      <c r="E234" s="41" t="s">
        <v>160</v>
      </c>
      <c r="F234" s="44">
        <v>0</v>
      </c>
      <c r="G234" s="44">
        <v>0</v>
      </c>
      <c r="H234" s="45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5">
        <v>2</v>
      </c>
      <c r="O234" s="44">
        <v>0</v>
      </c>
      <c r="P234" s="44">
        <v>0</v>
      </c>
      <c r="Q234" s="44">
        <v>34</v>
      </c>
      <c r="R234" s="44">
        <v>0</v>
      </c>
      <c r="S234" s="45">
        <v>0</v>
      </c>
      <c r="T234" s="44">
        <v>0</v>
      </c>
      <c r="U234" s="31"/>
    </row>
    <row r="235" ht="15.75" customHeight="1">
      <c r="A235" s="47"/>
      <c r="B235" s="46"/>
      <c r="C235" s="42"/>
      <c r="D235" s="43" t="s">
        <v>222</v>
      </c>
      <c r="E235" s="46"/>
      <c r="F235" s="44"/>
      <c r="G235" s="44"/>
      <c r="H235" s="45"/>
      <c r="I235" s="44"/>
      <c r="J235" s="44"/>
      <c r="K235" s="44"/>
      <c r="L235" s="44"/>
      <c r="M235" s="44"/>
      <c r="N235" s="45"/>
      <c r="O235" s="44"/>
      <c r="P235" s="44"/>
      <c r="Q235" s="44"/>
      <c r="R235" s="44"/>
      <c r="S235" s="45"/>
      <c r="T235" s="44"/>
      <c r="U235" s="31"/>
    </row>
    <row r="236" ht="15.75" customHeight="1">
      <c r="A236" s="47"/>
      <c r="B236" s="41">
        <v>1</v>
      </c>
      <c r="C236" s="42" t="s">
        <v>36</v>
      </c>
      <c r="D236" s="43" t="s">
        <v>260</v>
      </c>
      <c r="E236" s="41" t="s">
        <v>160</v>
      </c>
      <c r="F236" s="44">
        <v>0</v>
      </c>
      <c r="G236" s="44">
        <v>0</v>
      </c>
      <c r="H236" s="45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5">
        <v>2</v>
      </c>
      <c r="O236" s="44">
        <v>0</v>
      </c>
      <c r="P236" s="44">
        <v>0</v>
      </c>
      <c r="Q236" s="44">
        <v>34</v>
      </c>
      <c r="R236" s="44">
        <v>0</v>
      </c>
      <c r="S236" s="45">
        <v>0</v>
      </c>
      <c r="T236" s="44">
        <v>0</v>
      </c>
      <c r="U236" s="31"/>
    </row>
    <row r="237" ht="15.75" customHeight="1">
      <c r="A237" s="47"/>
      <c r="B237" s="46"/>
      <c r="C237" s="42"/>
      <c r="D237" s="43" t="s">
        <v>224</v>
      </c>
      <c r="E237" s="46"/>
      <c r="F237" s="44"/>
      <c r="G237" s="44"/>
      <c r="H237" s="45"/>
      <c r="I237" s="44"/>
      <c r="J237" s="44"/>
      <c r="K237" s="44"/>
      <c r="L237" s="44"/>
      <c r="M237" s="44"/>
      <c r="N237" s="45"/>
      <c r="O237" s="44"/>
      <c r="P237" s="44"/>
      <c r="Q237" s="44"/>
      <c r="R237" s="44"/>
      <c r="S237" s="45"/>
      <c r="T237" s="44"/>
      <c r="U237" s="31"/>
    </row>
    <row r="238" ht="15.75" customHeight="1">
      <c r="A238" s="47"/>
      <c r="B238" s="41">
        <v>1</v>
      </c>
      <c r="C238" s="42" t="s">
        <v>36</v>
      </c>
      <c r="D238" s="43" t="s">
        <v>261</v>
      </c>
      <c r="E238" s="41" t="s">
        <v>160</v>
      </c>
      <c r="F238" s="44">
        <v>0</v>
      </c>
      <c r="G238" s="44">
        <v>0</v>
      </c>
      <c r="H238" s="45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5">
        <v>2</v>
      </c>
      <c r="O238" s="44">
        <v>0</v>
      </c>
      <c r="P238" s="44">
        <v>0</v>
      </c>
      <c r="Q238" s="44">
        <v>34</v>
      </c>
      <c r="R238" s="44">
        <v>0</v>
      </c>
      <c r="S238" s="45">
        <v>0</v>
      </c>
      <c r="T238" s="44">
        <v>0</v>
      </c>
      <c r="U238" s="31"/>
    </row>
    <row r="239" ht="15.75" customHeight="1">
      <c r="A239" s="47"/>
      <c r="B239" s="46"/>
      <c r="C239" s="42"/>
      <c r="D239" s="43" t="s">
        <v>226</v>
      </c>
      <c r="E239" s="46"/>
      <c r="F239" s="44"/>
      <c r="G239" s="44"/>
      <c r="H239" s="45"/>
      <c r="I239" s="44"/>
      <c r="J239" s="44"/>
      <c r="K239" s="44"/>
      <c r="L239" s="44"/>
      <c r="M239" s="44"/>
      <c r="N239" s="45"/>
      <c r="O239" s="44"/>
      <c r="P239" s="44"/>
      <c r="Q239" s="44"/>
      <c r="R239" s="44"/>
      <c r="S239" s="45"/>
      <c r="T239" s="44"/>
      <c r="U239" s="31"/>
    </row>
    <row r="240" ht="15.75" customHeight="1">
      <c r="A240" s="47"/>
      <c r="B240" s="41">
        <v>1</v>
      </c>
      <c r="C240" s="42" t="s">
        <v>36</v>
      </c>
      <c r="D240" s="43" t="s">
        <v>262</v>
      </c>
      <c r="E240" s="41" t="s">
        <v>160</v>
      </c>
      <c r="F240" s="44">
        <v>0</v>
      </c>
      <c r="G240" s="44">
        <v>0</v>
      </c>
      <c r="H240" s="45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5">
        <v>2</v>
      </c>
      <c r="O240" s="44">
        <v>0</v>
      </c>
      <c r="P240" s="44">
        <v>0</v>
      </c>
      <c r="Q240" s="44">
        <v>34</v>
      </c>
      <c r="R240" s="44">
        <v>0</v>
      </c>
      <c r="S240" s="45">
        <v>0</v>
      </c>
      <c r="T240" s="44">
        <v>0</v>
      </c>
      <c r="U240" s="31"/>
    </row>
    <row r="241" ht="15.75" customHeight="1">
      <c r="A241" s="46"/>
      <c r="B241" s="46"/>
      <c r="C241" s="42"/>
      <c r="D241" s="43" t="s">
        <v>228</v>
      </c>
      <c r="E241" s="46"/>
      <c r="F241" s="44"/>
      <c r="G241" s="44"/>
      <c r="H241" s="45"/>
      <c r="I241" s="44"/>
      <c r="J241" s="44"/>
      <c r="K241" s="44"/>
      <c r="L241" s="44"/>
      <c r="M241" s="44"/>
      <c r="N241" s="45"/>
      <c r="O241" s="44"/>
      <c r="P241" s="44"/>
      <c r="Q241" s="44"/>
      <c r="R241" s="44"/>
      <c r="S241" s="45"/>
      <c r="T241" s="44"/>
      <c r="U241" s="31"/>
    </row>
    <row r="242" ht="15.75" customHeight="1">
      <c r="A242" s="41" t="s">
        <v>153</v>
      </c>
      <c r="B242" s="41">
        <v>1</v>
      </c>
      <c r="C242" s="42" t="s">
        <v>263</v>
      </c>
      <c r="D242" s="43" t="s">
        <v>264</v>
      </c>
      <c r="E242" s="41" t="s">
        <v>160</v>
      </c>
      <c r="F242" s="44">
        <v>0</v>
      </c>
      <c r="G242" s="44">
        <v>0</v>
      </c>
      <c r="H242" s="45">
        <v>10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5">
        <v>2</v>
      </c>
      <c r="O242" s="44">
        <v>0</v>
      </c>
      <c r="P242" s="44">
        <v>0</v>
      </c>
      <c r="Q242" s="44">
        <v>24</v>
      </c>
      <c r="R242" s="44">
        <v>0</v>
      </c>
      <c r="S242" s="45">
        <v>0</v>
      </c>
      <c r="T242" s="44">
        <v>0</v>
      </c>
      <c r="U242" s="31"/>
    </row>
    <row r="243" ht="15.75" customHeight="1">
      <c r="A243" s="46"/>
      <c r="B243" s="46"/>
      <c r="C243" s="42"/>
      <c r="D243" s="43" t="s">
        <v>265</v>
      </c>
      <c r="E243" s="46"/>
      <c r="F243" s="44"/>
      <c r="G243" s="44"/>
      <c r="H243" s="45"/>
      <c r="I243" s="44"/>
      <c r="J243" s="44"/>
      <c r="K243" s="44"/>
      <c r="L243" s="44"/>
      <c r="M243" s="44"/>
      <c r="N243" s="45"/>
      <c r="O243" s="44"/>
      <c r="P243" s="44"/>
      <c r="Q243" s="44"/>
      <c r="R243" s="44"/>
      <c r="S243" s="45"/>
      <c r="T243" s="44"/>
      <c r="U243" s="31"/>
    </row>
    <row r="244" ht="15.75" customHeight="1">
      <c r="A244" s="41" t="s">
        <v>153</v>
      </c>
      <c r="B244" s="44" t="s">
        <v>205</v>
      </c>
      <c r="C244" s="42" t="s">
        <v>36</v>
      </c>
      <c r="D244" s="43" t="s">
        <v>206</v>
      </c>
      <c r="E244" s="44" t="s">
        <v>207</v>
      </c>
      <c r="F244" s="52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4"/>
      <c r="U244" s="31"/>
    </row>
    <row r="245" ht="15.75" customHeight="1">
      <c r="A245" s="47"/>
      <c r="B245" s="44" t="s">
        <v>231</v>
      </c>
      <c r="C245" s="42"/>
      <c r="D245" s="43" t="s">
        <v>266</v>
      </c>
      <c r="E245" s="44" t="s">
        <v>233</v>
      </c>
      <c r="F245" s="5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56"/>
      <c r="U245" s="31"/>
    </row>
    <row r="246" ht="15.75" customHeight="1">
      <c r="A246" s="47"/>
      <c r="B246" s="44"/>
      <c r="C246" s="42"/>
      <c r="D246" s="43" t="s">
        <v>267</v>
      </c>
      <c r="E246" s="44"/>
      <c r="F246" s="57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9"/>
      <c r="U246" s="31"/>
    </row>
    <row r="247" ht="15.75" customHeight="1">
      <c r="A247" s="47"/>
      <c r="B247" s="44"/>
      <c r="C247" s="42"/>
      <c r="D247" s="43" t="s">
        <v>235</v>
      </c>
      <c r="E247" s="44" t="s">
        <v>213</v>
      </c>
      <c r="F247" s="52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4"/>
      <c r="U247" s="31"/>
    </row>
    <row r="248" ht="15.75" customHeight="1">
      <c r="A248" s="46"/>
      <c r="B248" s="44"/>
      <c r="C248" s="42"/>
      <c r="D248" s="43"/>
      <c r="E248" s="44" t="s">
        <v>214</v>
      </c>
      <c r="F248" s="57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9"/>
      <c r="U248" s="31"/>
    </row>
    <row r="249" ht="15.75" customHeight="1">
      <c r="A249" s="41"/>
      <c r="B249" s="41">
        <v>1</v>
      </c>
      <c r="C249" s="42" t="s">
        <v>36</v>
      </c>
      <c r="D249" s="43" t="s">
        <v>268</v>
      </c>
      <c r="E249" s="41" t="s">
        <v>160</v>
      </c>
      <c r="F249" s="44">
        <v>0</v>
      </c>
      <c r="G249" s="44">
        <v>0</v>
      </c>
      <c r="H249" s="45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5">
        <v>2</v>
      </c>
      <c r="O249" s="44">
        <v>0</v>
      </c>
      <c r="P249" s="44">
        <v>0</v>
      </c>
      <c r="Q249" s="44">
        <v>34</v>
      </c>
      <c r="R249" s="44">
        <v>0</v>
      </c>
      <c r="S249" s="45">
        <v>0</v>
      </c>
      <c r="T249" s="44">
        <v>0</v>
      </c>
      <c r="U249" s="31"/>
    </row>
    <row r="250" ht="15.75" customHeight="1">
      <c r="A250" s="47"/>
      <c r="B250" s="46"/>
      <c r="C250" s="42"/>
      <c r="D250" s="43" t="s">
        <v>237</v>
      </c>
      <c r="E250" s="46"/>
      <c r="F250" s="44"/>
      <c r="G250" s="44"/>
      <c r="H250" s="45"/>
      <c r="I250" s="44"/>
      <c r="J250" s="44"/>
      <c r="K250" s="44"/>
      <c r="L250" s="44"/>
      <c r="M250" s="44"/>
      <c r="N250" s="45"/>
      <c r="O250" s="44"/>
      <c r="P250" s="44"/>
      <c r="Q250" s="44"/>
      <c r="R250" s="44"/>
      <c r="S250" s="45"/>
      <c r="T250" s="44"/>
      <c r="U250" s="31"/>
    </row>
    <row r="251" ht="15.75" customHeight="1">
      <c r="A251" s="47"/>
      <c r="B251" s="41">
        <v>1</v>
      </c>
      <c r="C251" s="42" t="s">
        <v>36</v>
      </c>
      <c r="D251" s="43" t="s">
        <v>269</v>
      </c>
      <c r="E251" s="41" t="s">
        <v>160</v>
      </c>
      <c r="F251" s="44">
        <v>0</v>
      </c>
      <c r="G251" s="44">
        <v>0</v>
      </c>
      <c r="H251" s="45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5">
        <v>2</v>
      </c>
      <c r="O251" s="44">
        <v>0</v>
      </c>
      <c r="P251" s="44">
        <v>0</v>
      </c>
      <c r="Q251" s="44">
        <v>34</v>
      </c>
      <c r="R251" s="44">
        <v>0</v>
      </c>
      <c r="S251" s="45">
        <v>0</v>
      </c>
      <c r="T251" s="44">
        <v>0</v>
      </c>
      <c r="U251" s="31"/>
    </row>
    <row r="252" ht="15.75" customHeight="1">
      <c r="A252" s="46"/>
      <c r="B252" s="46"/>
      <c r="C252" s="42"/>
      <c r="D252" s="43" t="s">
        <v>239</v>
      </c>
      <c r="E252" s="46"/>
      <c r="F252" s="44"/>
      <c r="G252" s="44"/>
      <c r="H252" s="45"/>
      <c r="I252" s="44"/>
      <c r="J252" s="44"/>
      <c r="K252" s="44"/>
      <c r="L252" s="44"/>
      <c r="M252" s="44"/>
      <c r="N252" s="45"/>
      <c r="O252" s="44"/>
      <c r="P252" s="44"/>
      <c r="Q252" s="44"/>
      <c r="R252" s="44"/>
      <c r="S252" s="45"/>
      <c r="T252" s="44"/>
      <c r="U252" s="31"/>
    </row>
    <row r="253" ht="17.25" customHeight="1">
      <c r="A253" s="39" t="s">
        <v>270</v>
      </c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6"/>
      <c r="U253" s="31"/>
    </row>
    <row r="254" ht="17.25" customHeight="1">
      <c r="A254" s="39" t="s">
        <v>271</v>
      </c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6"/>
      <c r="U254" s="31"/>
    </row>
    <row r="255" ht="17.25" customHeight="1">
      <c r="A255" s="40" t="s">
        <v>152</v>
      </c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6"/>
      <c r="U255" s="31"/>
    </row>
    <row r="256" ht="15.75" customHeight="1">
      <c r="A256" s="41" t="s">
        <v>153</v>
      </c>
      <c r="B256" s="41">
        <f>SUM(F256:S256)/36</f>
        <v>3</v>
      </c>
      <c r="C256" s="42" t="s">
        <v>272</v>
      </c>
      <c r="D256" s="43" t="s">
        <v>273</v>
      </c>
      <c r="E256" s="41" t="s">
        <v>169</v>
      </c>
      <c r="F256" s="44">
        <v>26</v>
      </c>
      <c r="G256" s="44">
        <v>0</v>
      </c>
      <c r="H256" s="45">
        <v>2</v>
      </c>
      <c r="I256" s="44">
        <v>26</v>
      </c>
      <c r="J256" s="44">
        <v>0</v>
      </c>
      <c r="K256" s="44">
        <v>4</v>
      </c>
      <c r="L256" s="44">
        <v>2</v>
      </c>
      <c r="M256" s="44">
        <v>0</v>
      </c>
      <c r="N256" s="45">
        <v>2</v>
      </c>
      <c r="O256" s="44">
        <v>0</v>
      </c>
      <c r="P256" s="44">
        <v>0</v>
      </c>
      <c r="Q256" s="44">
        <v>22</v>
      </c>
      <c r="R256" s="44">
        <v>0</v>
      </c>
      <c r="S256" s="45">
        <v>24</v>
      </c>
      <c r="T256" s="44">
        <v>26</v>
      </c>
      <c r="U256" s="31"/>
    </row>
    <row r="257" ht="15.75" customHeight="1">
      <c r="A257" s="46"/>
      <c r="B257" s="46"/>
      <c r="C257" s="42"/>
      <c r="D257" s="43" t="s">
        <v>274</v>
      </c>
      <c r="E257" s="46"/>
      <c r="F257" s="44"/>
      <c r="G257" s="44"/>
      <c r="H257" s="45"/>
      <c r="I257" s="44"/>
      <c r="J257" s="44"/>
      <c r="K257" s="44"/>
      <c r="L257" s="44"/>
      <c r="M257" s="44"/>
      <c r="N257" s="45"/>
      <c r="O257" s="44"/>
      <c r="P257" s="44"/>
      <c r="Q257" s="44"/>
      <c r="R257" s="44"/>
      <c r="S257" s="45"/>
      <c r="T257" s="44"/>
      <c r="U257" s="31"/>
    </row>
    <row r="258" ht="15.75" customHeight="1">
      <c r="A258" s="41" t="s">
        <v>153</v>
      </c>
      <c r="B258" s="41">
        <f>SUM(F258:S258)/36</f>
        <v>3</v>
      </c>
      <c r="C258" s="42" t="s">
        <v>275</v>
      </c>
      <c r="D258" s="43" t="s">
        <v>276</v>
      </c>
      <c r="E258" s="41" t="s">
        <v>160</v>
      </c>
      <c r="F258" s="44">
        <v>30</v>
      </c>
      <c r="G258" s="44">
        <v>0</v>
      </c>
      <c r="H258" s="45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5">
        <v>2</v>
      </c>
      <c r="O258" s="44">
        <v>28</v>
      </c>
      <c r="P258" s="44">
        <v>0</v>
      </c>
      <c r="Q258" s="44">
        <v>41</v>
      </c>
      <c r="R258" s="44">
        <v>0</v>
      </c>
      <c r="S258" s="45">
        <v>7</v>
      </c>
      <c r="T258" s="44">
        <v>2</v>
      </c>
      <c r="U258" s="31"/>
    </row>
    <row r="259" ht="15.75" customHeight="1">
      <c r="A259" s="46"/>
      <c r="B259" s="46"/>
      <c r="C259" s="42"/>
      <c r="D259" s="43" t="s">
        <v>277</v>
      </c>
      <c r="E259" s="46"/>
      <c r="F259" s="44"/>
      <c r="G259" s="44"/>
      <c r="H259" s="45"/>
      <c r="I259" s="44"/>
      <c r="J259" s="44"/>
      <c r="K259" s="44"/>
      <c r="L259" s="44"/>
      <c r="M259" s="44"/>
      <c r="N259" s="45"/>
      <c r="O259" s="44"/>
      <c r="P259" s="44"/>
      <c r="Q259" s="44"/>
      <c r="R259" s="44"/>
      <c r="S259" s="45"/>
      <c r="T259" s="44"/>
      <c r="U259" s="31"/>
    </row>
    <row r="260" ht="15.75" customHeight="1">
      <c r="A260" s="41" t="s">
        <v>153</v>
      </c>
      <c r="B260" s="41">
        <v>0</v>
      </c>
      <c r="C260" s="42" t="s">
        <v>42</v>
      </c>
      <c r="D260" s="43" t="s">
        <v>171</v>
      </c>
      <c r="E260" s="41" t="s">
        <v>172</v>
      </c>
      <c r="F260" s="44">
        <v>0</v>
      </c>
      <c r="G260" s="44">
        <v>0</v>
      </c>
      <c r="H260" s="45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5">
        <v>0</v>
      </c>
      <c r="O260" s="44">
        <v>0</v>
      </c>
      <c r="P260" s="44">
        <v>62</v>
      </c>
      <c r="Q260" s="44">
        <v>100</v>
      </c>
      <c r="R260" s="44">
        <v>2</v>
      </c>
      <c r="S260" s="45">
        <v>0</v>
      </c>
      <c r="T260" s="44">
        <v>20</v>
      </c>
      <c r="U260" s="31"/>
    </row>
    <row r="261" ht="15.75" customHeight="1">
      <c r="A261" s="47"/>
      <c r="B261" s="47"/>
      <c r="C261" s="42"/>
      <c r="D261" s="43" t="s">
        <v>173</v>
      </c>
      <c r="E261" s="47"/>
      <c r="F261" s="44"/>
      <c r="G261" s="44"/>
      <c r="H261" s="45"/>
      <c r="I261" s="44"/>
      <c r="J261" s="44"/>
      <c r="K261" s="44"/>
      <c r="L261" s="44"/>
      <c r="M261" s="44"/>
      <c r="N261" s="45"/>
      <c r="O261" s="44"/>
      <c r="P261" s="44"/>
      <c r="Q261" s="44"/>
      <c r="R261" s="44"/>
      <c r="S261" s="45"/>
      <c r="T261" s="44"/>
      <c r="U261" s="31"/>
    </row>
    <row r="262" ht="15.75" customHeight="1">
      <c r="A262" s="47"/>
      <c r="B262" s="47"/>
      <c r="C262" s="42" t="s">
        <v>42</v>
      </c>
      <c r="D262" s="43" t="s">
        <v>174</v>
      </c>
      <c r="E262" s="47"/>
      <c r="F262" s="44">
        <v>0</v>
      </c>
      <c r="G262" s="44">
        <v>0</v>
      </c>
      <c r="H262" s="45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5">
        <v>0</v>
      </c>
      <c r="O262" s="44">
        <v>0</v>
      </c>
      <c r="P262" s="44">
        <v>62</v>
      </c>
      <c r="Q262" s="44">
        <v>100</v>
      </c>
      <c r="R262" s="44">
        <v>2</v>
      </c>
      <c r="S262" s="45">
        <v>0</v>
      </c>
      <c r="T262" s="44">
        <v>20</v>
      </c>
      <c r="U262" s="31"/>
    </row>
    <row r="263" ht="15.75" customHeight="1">
      <c r="A263" s="47"/>
      <c r="B263" s="47"/>
      <c r="C263" s="42"/>
      <c r="D263" s="43" t="s">
        <v>173</v>
      </c>
      <c r="E263" s="47"/>
      <c r="F263" s="44"/>
      <c r="G263" s="44"/>
      <c r="H263" s="45"/>
      <c r="I263" s="44"/>
      <c r="J263" s="44"/>
      <c r="K263" s="44"/>
      <c r="L263" s="44"/>
      <c r="M263" s="44"/>
      <c r="N263" s="45"/>
      <c r="O263" s="44"/>
      <c r="P263" s="44"/>
      <c r="Q263" s="44"/>
      <c r="R263" s="44"/>
      <c r="S263" s="45"/>
      <c r="T263" s="44"/>
      <c r="U263" s="31"/>
    </row>
    <row r="264" ht="15.75" customHeight="1">
      <c r="A264" s="47"/>
      <c r="B264" s="47"/>
      <c r="C264" s="42" t="s">
        <v>42</v>
      </c>
      <c r="D264" s="43" t="s">
        <v>175</v>
      </c>
      <c r="E264" s="47"/>
      <c r="F264" s="44">
        <v>0</v>
      </c>
      <c r="G264" s="44">
        <v>0</v>
      </c>
      <c r="H264" s="45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5">
        <v>0</v>
      </c>
      <c r="O264" s="44">
        <v>0</v>
      </c>
      <c r="P264" s="44">
        <v>62</v>
      </c>
      <c r="Q264" s="44">
        <v>100</v>
      </c>
      <c r="R264" s="44">
        <v>2</v>
      </c>
      <c r="S264" s="45">
        <v>0</v>
      </c>
      <c r="T264" s="44">
        <v>20</v>
      </c>
      <c r="U264" s="31"/>
    </row>
    <row r="265" ht="15.75" customHeight="1">
      <c r="A265" s="47"/>
      <c r="B265" s="47"/>
      <c r="C265" s="42"/>
      <c r="D265" s="43" t="s">
        <v>173</v>
      </c>
      <c r="E265" s="47"/>
      <c r="F265" s="44"/>
      <c r="G265" s="44"/>
      <c r="H265" s="45"/>
      <c r="I265" s="44"/>
      <c r="J265" s="44"/>
      <c r="K265" s="44"/>
      <c r="L265" s="44"/>
      <c r="M265" s="44"/>
      <c r="N265" s="45"/>
      <c r="O265" s="44"/>
      <c r="P265" s="44"/>
      <c r="Q265" s="44"/>
      <c r="R265" s="44"/>
      <c r="S265" s="45"/>
      <c r="T265" s="44"/>
      <c r="U265" s="31"/>
    </row>
    <row r="266" ht="15.75" customHeight="1">
      <c r="A266" s="47"/>
      <c r="B266" s="47"/>
      <c r="C266" s="42" t="s">
        <v>42</v>
      </c>
      <c r="D266" s="43" t="s">
        <v>176</v>
      </c>
      <c r="E266" s="47"/>
      <c r="F266" s="44">
        <v>0</v>
      </c>
      <c r="G266" s="44">
        <v>0</v>
      </c>
      <c r="H266" s="45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5">
        <v>0</v>
      </c>
      <c r="O266" s="44">
        <v>0</v>
      </c>
      <c r="P266" s="44">
        <v>0</v>
      </c>
      <c r="Q266" s="44">
        <v>160</v>
      </c>
      <c r="R266" s="44">
        <v>4</v>
      </c>
      <c r="S266" s="45">
        <v>0</v>
      </c>
      <c r="T266" s="44">
        <v>164</v>
      </c>
      <c r="U266" s="31"/>
    </row>
    <row r="267" ht="15.75" customHeight="1">
      <c r="A267" s="47"/>
      <c r="B267" s="47"/>
      <c r="C267" s="42"/>
      <c r="D267" s="43" t="s">
        <v>173</v>
      </c>
      <c r="E267" s="47"/>
      <c r="F267" s="44"/>
      <c r="G267" s="44"/>
      <c r="H267" s="45"/>
      <c r="I267" s="44"/>
      <c r="J267" s="44"/>
      <c r="K267" s="44"/>
      <c r="L267" s="44"/>
      <c r="M267" s="44"/>
      <c r="N267" s="45"/>
      <c r="O267" s="44"/>
      <c r="P267" s="44"/>
      <c r="Q267" s="44"/>
      <c r="R267" s="44"/>
      <c r="S267" s="45"/>
      <c r="T267" s="44"/>
      <c r="U267" s="31"/>
    </row>
    <row r="268" ht="15.75" customHeight="1">
      <c r="A268" s="47"/>
      <c r="B268" s="47"/>
      <c r="C268" s="42" t="s">
        <v>42</v>
      </c>
      <c r="D268" s="43" t="s">
        <v>177</v>
      </c>
      <c r="E268" s="47"/>
      <c r="F268" s="44">
        <v>0</v>
      </c>
      <c r="G268" s="44">
        <v>0</v>
      </c>
      <c r="H268" s="45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5">
        <v>0</v>
      </c>
      <c r="O268" s="44">
        <v>0</v>
      </c>
      <c r="P268" s="44">
        <v>62</v>
      </c>
      <c r="Q268" s="44">
        <v>100</v>
      </c>
      <c r="R268" s="44">
        <v>2</v>
      </c>
      <c r="S268" s="45">
        <v>0</v>
      </c>
      <c r="T268" s="44">
        <v>20</v>
      </c>
      <c r="U268" s="31"/>
    </row>
    <row r="269" ht="15.75" customHeight="1">
      <c r="A269" s="46"/>
      <c r="B269" s="46"/>
      <c r="C269" s="42"/>
      <c r="D269" s="43" t="s">
        <v>173</v>
      </c>
      <c r="E269" s="46"/>
      <c r="F269" s="44"/>
      <c r="G269" s="44"/>
      <c r="H269" s="45"/>
      <c r="I269" s="44"/>
      <c r="J269" s="44"/>
      <c r="K269" s="44"/>
      <c r="L269" s="44"/>
      <c r="M269" s="44"/>
      <c r="N269" s="45"/>
      <c r="O269" s="44"/>
      <c r="P269" s="44"/>
      <c r="Q269" s="44"/>
      <c r="R269" s="44"/>
      <c r="S269" s="45"/>
      <c r="T269" s="44"/>
      <c r="U269" s="31"/>
    </row>
    <row r="270" ht="15.75" customHeight="1">
      <c r="A270" s="41" t="s">
        <v>153</v>
      </c>
      <c r="B270" s="41">
        <f>SUM(F270:S270)/36</f>
        <v>1</v>
      </c>
      <c r="C270" s="42" t="s">
        <v>36</v>
      </c>
      <c r="D270" s="43" t="s">
        <v>278</v>
      </c>
      <c r="E270" s="41" t="s">
        <v>160</v>
      </c>
      <c r="F270" s="44">
        <v>0</v>
      </c>
      <c r="G270" s="44">
        <v>0</v>
      </c>
      <c r="H270" s="45">
        <v>10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5">
        <v>2</v>
      </c>
      <c r="O270" s="44">
        <v>0</v>
      </c>
      <c r="P270" s="44">
        <v>0</v>
      </c>
      <c r="Q270" s="44">
        <v>24</v>
      </c>
      <c r="R270" s="44">
        <v>0</v>
      </c>
      <c r="S270" s="45">
        <v>0</v>
      </c>
      <c r="T270" s="44">
        <v>0</v>
      </c>
      <c r="U270" s="31"/>
    </row>
    <row r="271" ht="15.75" customHeight="1">
      <c r="A271" s="46"/>
      <c r="B271" s="46"/>
      <c r="C271" s="42"/>
      <c r="D271" s="43" t="s">
        <v>279</v>
      </c>
      <c r="E271" s="46"/>
      <c r="F271" s="44"/>
      <c r="G271" s="44"/>
      <c r="H271" s="45"/>
      <c r="I271" s="44"/>
      <c r="J271" s="44"/>
      <c r="K271" s="44"/>
      <c r="L271" s="44"/>
      <c r="M271" s="44"/>
      <c r="N271" s="45"/>
      <c r="O271" s="44"/>
      <c r="P271" s="44"/>
      <c r="Q271" s="44"/>
      <c r="R271" s="44"/>
      <c r="S271" s="45"/>
      <c r="T271" s="44"/>
      <c r="U271" s="31"/>
    </row>
    <row r="272" ht="15.75" customHeight="1">
      <c r="A272" s="41" t="s">
        <v>153</v>
      </c>
      <c r="B272" s="41">
        <f>SUM(F272:S272)/36</f>
        <v>4</v>
      </c>
      <c r="C272" s="42" t="s">
        <v>154</v>
      </c>
      <c r="D272" s="43" t="s">
        <v>280</v>
      </c>
      <c r="E272" s="41" t="s">
        <v>156</v>
      </c>
      <c r="F272" s="44">
        <v>42</v>
      </c>
      <c r="G272" s="44">
        <v>0</v>
      </c>
      <c r="H272" s="45">
        <v>2</v>
      </c>
      <c r="I272" s="44">
        <v>44</v>
      </c>
      <c r="J272" s="44">
        <v>0</v>
      </c>
      <c r="K272" s="44">
        <v>2</v>
      </c>
      <c r="L272" s="44">
        <v>2</v>
      </c>
      <c r="M272" s="44">
        <v>0</v>
      </c>
      <c r="N272" s="45">
        <v>4</v>
      </c>
      <c r="O272" s="44">
        <v>0</v>
      </c>
      <c r="P272" s="44">
        <v>0</v>
      </c>
      <c r="Q272" s="44">
        <v>17</v>
      </c>
      <c r="R272" s="44">
        <v>0</v>
      </c>
      <c r="S272" s="45">
        <v>31</v>
      </c>
      <c r="T272" s="44">
        <v>44</v>
      </c>
      <c r="U272" s="31"/>
    </row>
    <row r="273" ht="15.75" customHeight="1">
      <c r="A273" s="46"/>
      <c r="B273" s="46"/>
      <c r="C273" s="42"/>
      <c r="D273" s="43" t="s">
        <v>281</v>
      </c>
      <c r="E273" s="46"/>
      <c r="F273" s="44"/>
      <c r="G273" s="44"/>
      <c r="H273" s="45"/>
      <c r="I273" s="44"/>
      <c r="J273" s="44"/>
      <c r="K273" s="44"/>
      <c r="L273" s="44"/>
      <c r="M273" s="44"/>
      <c r="N273" s="45"/>
      <c r="O273" s="44"/>
      <c r="P273" s="44"/>
      <c r="Q273" s="44"/>
      <c r="R273" s="44"/>
      <c r="S273" s="45"/>
      <c r="T273" s="44"/>
      <c r="U273" s="31"/>
    </row>
    <row r="274" ht="15.75" customHeight="1">
      <c r="A274" s="41" t="s">
        <v>153</v>
      </c>
      <c r="B274" s="41">
        <f>SUM(F274:S274)/36</f>
        <v>3</v>
      </c>
      <c r="C274" s="42" t="s">
        <v>282</v>
      </c>
      <c r="D274" s="43" t="s">
        <v>283</v>
      </c>
      <c r="E274" s="41" t="s">
        <v>169</v>
      </c>
      <c r="F274" s="44">
        <v>16</v>
      </c>
      <c r="G274" s="44">
        <v>16</v>
      </c>
      <c r="H274" s="45">
        <v>2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5">
        <v>2</v>
      </c>
      <c r="O274" s="44">
        <v>0</v>
      </c>
      <c r="P274" s="44">
        <v>0</v>
      </c>
      <c r="Q274" s="44">
        <v>48</v>
      </c>
      <c r="R274" s="44">
        <v>0</v>
      </c>
      <c r="S274" s="45">
        <v>24</v>
      </c>
      <c r="T274" s="44">
        <v>16</v>
      </c>
      <c r="U274" s="31"/>
    </row>
    <row r="275" ht="15.75" customHeight="1">
      <c r="A275" s="46"/>
      <c r="B275" s="46"/>
      <c r="C275" s="42"/>
      <c r="D275" s="43" t="s">
        <v>284</v>
      </c>
      <c r="E275" s="46"/>
      <c r="F275" s="44"/>
      <c r="G275" s="44"/>
      <c r="H275" s="45"/>
      <c r="I275" s="44"/>
      <c r="J275" s="44"/>
      <c r="K275" s="44"/>
      <c r="L275" s="44"/>
      <c r="M275" s="44"/>
      <c r="N275" s="45"/>
      <c r="O275" s="44"/>
      <c r="P275" s="44"/>
      <c r="Q275" s="44"/>
      <c r="R275" s="44"/>
      <c r="S275" s="45"/>
      <c r="T275" s="44"/>
      <c r="U275" s="31"/>
    </row>
    <row r="276" ht="15.75" customHeight="1">
      <c r="A276" s="41" t="s">
        <v>153</v>
      </c>
      <c r="B276" s="41">
        <f>SUM(F276:S276)/36</f>
        <v>3</v>
      </c>
      <c r="C276" s="42" t="s">
        <v>285</v>
      </c>
      <c r="D276" s="43" t="s">
        <v>286</v>
      </c>
      <c r="E276" s="41" t="s">
        <v>169</v>
      </c>
      <c r="F276" s="44">
        <v>16</v>
      </c>
      <c r="G276" s="44">
        <v>16</v>
      </c>
      <c r="H276" s="45">
        <v>2</v>
      </c>
      <c r="I276" s="44">
        <v>0</v>
      </c>
      <c r="J276" s="44">
        <v>0</v>
      </c>
      <c r="K276" s="44">
        <v>0</v>
      </c>
      <c r="L276" s="44">
        <v>0</v>
      </c>
      <c r="M276" s="44">
        <v>0</v>
      </c>
      <c r="N276" s="45">
        <v>2</v>
      </c>
      <c r="O276" s="44">
        <v>0</v>
      </c>
      <c r="P276" s="44">
        <v>0</v>
      </c>
      <c r="Q276" s="44">
        <v>48</v>
      </c>
      <c r="R276" s="44">
        <v>0</v>
      </c>
      <c r="S276" s="45">
        <v>24</v>
      </c>
      <c r="T276" s="44">
        <v>16</v>
      </c>
      <c r="U276" s="31"/>
    </row>
    <row r="277" ht="15.75" customHeight="1">
      <c r="A277" s="46"/>
      <c r="B277" s="46"/>
      <c r="C277" s="42"/>
      <c r="D277" s="43" t="s">
        <v>287</v>
      </c>
      <c r="E277" s="46"/>
      <c r="F277" s="44"/>
      <c r="G277" s="44"/>
      <c r="H277" s="45"/>
      <c r="I277" s="44"/>
      <c r="J277" s="44"/>
      <c r="K277" s="44"/>
      <c r="L277" s="44"/>
      <c r="M277" s="44"/>
      <c r="N277" s="45"/>
      <c r="O277" s="44"/>
      <c r="P277" s="44"/>
      <c r="Q277" s="44"/>
      <c r="R277" s="44"/>
      <c r="S277" s="45"/>
      <c r="T277" s="44"/>
      <c r="U277" s="31"/>
    </row>
    <row r="278" ht="17.25" customHeight="1">
      <c r="A278" s="60" t="s">
        <v>245</v>
      </c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50"/>
      <c r="U278" s="31"/>
    </row>
    <row r="279" ht="15.75" customHeight="1">
      <c r="A279" s="41" t="s">
        <v>153</v>
      </c>
      <c r="B279" s="41">
        <f>SUM(F279:S279)/36</f>
        <v>3</v>
      </c>
      <c r="C279" s="42" t="s">
        <v>246</v>
      </c>
      <c r="D279" s="43" t="s">
        <v>159</v>
      </c>
      <c r="E279" s="41" t="s">
        <v>160</v>
      </c>
      <c r="F279" s="44">
        <v>0</v>
      </c>
      <c r="G279" s="44">
        <v>0</v>
      </c>
      <c r="H279" s="45">
        <v>0</v>
      </c>
      <c r="I279" s="44">
        <v>26</v>
      </c>
      <c r="J279" s="44">
        <v>0</v>
      </c>
      <c r="K279" s="44">
        <v>0</v>
      </c>
      <c r="L279" s="44">
        <v>0</v>
      </c>
      <c r="M279" s="44">
        <v>6</v>
      </c>
      <c r="N279" s="45">
        <v>2</v>
      </c>
      <c r="O279" s="44">
        <v>0</v>
      </c>
      <c r="P279" s="44">
        <v>0</v>
      </c>
      <c r="Q279" s="44">
        <v>67</v>
      </c>
      <c r="R279" s="44">
        <v>0</v>
      </c>
      <c r="S279" s="45">
        <v>7</v>
      </c>
      <c r="T279" s="44">
        <v>26</v>
      </c>
      <c r="U279" s="31"/>
    </row>
    <row r="280" ht="15.75" customHeight="1">
      <c r="A280" s="46"/>
      <c r="B280" s="46"/>
      <c r="C280" s="42"/>
      <c r="D280" s="43" t="s">
        <v>161</v>
      </c>
      <c r="E280" s="46"/>
      <c r="F280" s="44"/>
      <c r="G280" s="44"/>
      <c r="H280" s="45"/>
      <c r="I280" s="44"/>
      <c r="J280" s="44"/>
      <c r="K280" s="44"/>
      <c r="L280" s="44"/>
      <c r="M280" s="44"/>
      <c r="N280" s="45"/>
      <c r="O280" s="44"/>
      <c r="P280" s="44"/>
      <c r="Q280" s="44"/>
      <c r="R280" s="44"/>
      <c r="S280" s="45"/>
      <c r="T280" s="44"/>
      <c r="U280" s="31"/>
    </row>
    <row r="281" ht="15.75" customHeight="1">
      <c r="A281" s="41" t="s">
        <v>153</v>
      </c>
      <c r="B281" s="41">
        <f>SUM(F281:S281)/36</f>
        <v>3</v>
      </c>
      <c r="C281" s="42" t="s">
        <v>154</v>
      </c>
      <c r="D281" s="43" t="s">
        <v>288</v>
      </c>
      <c r="E281" s="41" t="s">
        <v>160</v>
      </c>
      <c r="F281" s="44">
        <v>30</v>
      </c>
      <c r="G281" s="44">
        <v>0</v>
      </c>
      <c r="H281" s="45">
        <v>0</v>
      </c>
      <c r="I281" s="44">
        <v>28</v>
      </c>
      <c r="J281" s="44">
        <v>0</v>
      </c>
      <c r="K281" s="44">
        <v>4</v>
      </c>
      <c r="L281" s="44">
        <v>0</v>
      </c>
      <c r="M281" s="44">
        <v>0</v>
      </c>
      <c r="N281" s="45">
        <v>2</v>
      </c>
      <c r="O281" s="44">
        <v>0</v>
      </c>
      <c r="P281" s="44">
        <v>0</v>
      </c>
      <c r="Q281" s="44">
        <v>37</v>
      </c>
      <c r="R281" s="44">
        <v>0</v>
      </c>
      <c r="S281" s="45">
        <v>7</v>
      </c>
      <c r="T281" s="44">
        <v>26</v>
      </c>
      <c r="U281" s="31"/>
    </row>
    <row r="282" ht="15.75" customHeight="1">
      <c r="A282" s="46"/>
      <c r="B282" s="46"/>
      <c r="C282" s="42"/>
      <c r="D282" s="43" t="s">
        <v>289</v>
      </c>
      <c r="E282" s="46"/>
      <c r="F282" s="44"/>
      <c r="G282" s="44"/>
      <c r="H282" s="45"/>
      <c r="I282" s="44"/>
      <c r="J282" s="44"/>
      <c r="K282" s="44"/>
      <c r="L282" s="44"/>
      <c r="M282" s="44"/>
      <c r="N282" s="45"/>
      <c r="O282" s="44"/>
      <c r="P282" s="44"/>
      <c r="Q282" s="44"/>
      <c r="R282" s="44"/>
      <c r="S282" s="45"/>
      <c r="T282" s="44"/>
      <c r="U282" s="31"/>
    </row>
    <row r="283" ht="15.75" customHeight="1">
      <c r="A283" s="41" t="s">
        <v>153</v>
      </c>
      <c r="B283" s="41">
        <f>SUM(F283:S283)/36</f>
        <v>4</v>
      </c>
      <c r="C283" s="42" t="s">
        <v>272</v>
      </c>
      <c r="D283" s="43" t="s">
        <v>290</v>
      </c>
      <c r="E283" s="41" t="s">
        <v>169</v>
      </c>
      <c r="F283" s="44">
        <v>30</v>
      </c>
      <c r="G283" s="44">
        <v>30</v>
      </c>
      <c r="H283" s="45">
        <v>2</v>
      </c>
      <c r="I283" s="44">
        <v>0</v>
      </c>
      <c r="J283" s="44">
        <v>0</v>
      </c>
      <c r="K283" s="44">
        <v>0</v>
      </c>
      <c r="L283" s="44">
        <v>0</v>
      </c>
      <c r="M283" s="44">
        <v>0</v>
      </c>
      <c r="N283" s="45">
        <v>2</v>
      </c>
      <c r="O283" s="44">
        <v>0</v>
      </c>
      <c r="P283" s="44">
        <v>0</v>
      </c>
      <c r="Q283" s="44">
        <v>56</v>
      </c>
      <c r="R283" s="44">
        <v>0</v>
      </c>
      <c r="S283" s="45">
        <v>24</v>
      </c>
      <c r="T283" s="44">
        <v>30</v>
      </c>
      <c r="U283" s="31"/>
    </row>
    <row r="284" ht="15.75" customHeight="1">
      <c r="A284" s="46"/>
      <c r="B284" s="46"/>
      <c r="C284" s="42"/>
      <c r="D284" s="43" t="s">
        <v>291</v>
      </c>
      <c r="E284" s="46"/>
      <c r="F284" s="44"/>
      <c r="G284" s="44"/>
      <c r="H284" s="45"/>
      <c r="I284" s="44"/>
      <c r="J284" s="44"/>
      <c r="K284" s="44"/>
      <c r="L284" s="44"/>
      <c r="M284" s="44"/>
      <c r="N284" s="45"/>
      <c r="O284" s="44"/>
      <c r="P284" s="44"/>
      <c r="Q284" s="44"/>
      <c r="R284" s="44"/>
      <c r="S284" s="45"/>
      <c r="T284" s="44"/>
      <c r="U284" s="31"/>
    </row>
    <row r="285" ht="17.25" customHeight="1">
      <c r="A285" s="60" t="s">
        <v>247</v>
      </c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50"/>
      <c r="U285" s="31"/>
    </row>
    <row r="286" ht="15.75" customHeight="1">
      <c r="A286" s="41" t="s">
        <v>248</v>
      </c>
      <c r="B286" s="41">
        <f>SUM(F286:S286)/36</f>
        <v>3</v>
      </c>
      <c r="C286" s="42" t="s">
        <v>249</v>
      </c>
      <c r="D286" s="43" t="s">
        <v>250</v>
      </c>
      <c r="E286" s="41" t="s">
        <v>251</v>
      </c>
      <c r="F286" s="44">
        <v>0</v>
      </c>
      <c r="G286" s="44">
        <v>0</v>
      </c>
      <c r="H286" s="45">
        <v>0</v>
      </c>
      <c r="I286" s="44">
        <v>54</v>
      </c>
      <c r="J286" s="44">
        <v>0</v>
      </c>
      <c r="K286" s="44">
        <v>0</v>
      </c>
      <c r="L286" s="44">
        <v>0</v>
      </c>
      <c r="M286" s="44">
        <v>6</v>
      </c>
      <c r="N286" s="45">
        <v>2</v>
      </c>
      <c r="O286" s="44">
        <v>0</v>
      </c>
      <c r="P286" s="44">
        <v>0</v>
      </c>
      <c r="Q286" s="44">
        <v>39</v>
      </c>
      <c r="R286" s="44">
        <v>0</v>
      </c>
      <c r="S286" s="45">
        <v>7</v>
      </c>
      <c r="T286" s="44">
        <v>22</v>
      </c>
      <c r="U286" s="31"/>
    </row>
    <row r="287" ht="15.75" customHeight="1">
      <c r="A287" s="46"/>
      <c r="B287" s="46"/>
      <c r="C287" s="42"/>
      <c r="D287" s="43" t="s">
        <v>252</v>
      </c>
      <c r="E287" s="46"/>
      <c r="F287" s="44"/>
      <c r="G287" s="44"/>
      <c r="H287" s="45"/>
      <c r="I287" s="44"/>
      <c r="J287" s="44"/>
      <c r="K287" s="44"/>
      <c r="L287" s="44"/>
      <c r="M287" s="44"/>
      <c r="N287" s="45"/>
      <c r="O287" s="44"/>
      <c r="P287" s="44"/>
      <c r="Q287" s="44"/>
      <c r="R287" s="44"/>
      <c r="S287" s="45"/>
      <c r="T287" s="44"/>
      <c r="U287" s="31"/>
    </row>
    <row r="288" ht="15.75" customHeight="1">
      <c r="A288" s="41" t="s">
        <v>153</v>
      </c>
      <c r="B288" s="41">
        <f>SUM(F288:S288)/36</f>
        <v>3</v>
      </c>
      <c r="C288" s="42" t="s">
        <v>292</v>
      </c>
      <c r="D288" s="43" t="s">
        <v>293</v>
      </c>
      <c r="E288" s="41" t="s">
        <v>160</v>
      </c>
      <c r="F288" s="44">
        <v>16</v>
      </c>
      <c r="G288" s="44">
        <v>0</v>
      </c>
      <c r="H288" s="45">
        <v>0</v>
      </c>
      <c r="I288" s="44">
        <v>46</v>
      </c>
      <c r="J288" s="44">
        <v>0</v>
      </c>
      <c r="K288" s="44">
        <v>0</v>
      </c>
      <c r="L288" s="44">
        <v>0</v>
      </c>
      <c r="M288" s="44">
        <v>0</v>
      </c>
      <c r="N288" s="45">
        <v>2</v>
      </c>
      <c r="O288" s="44">
        <v>0</v>
      </c>
      <c r="P288" s="44">
        <v>0</v>
      </c>
      <c r="Q288" s="44">
        <v>37</v>
      </c>
      <c r="R288" s="44">
        <v>0</v>
      </c>
      <c r="S288" s="45">
        <v>7</v>
      </c>
      <c r="T288" s="44">
        <v>46</v>
      </c>
      <c r="U288" s="31"/>
    </row>
    <row r="289" ht="15.75" customHeight="1">
      <c r="A289" s="46"/>
      <c r="B289" s="46"/>
      <c r="C289" s="42"/>
      <c r="D289" s="43" t="s">
        <v>294</v>
      </c>
      <c r="E289" s="46"/>
      <c r="F289" s="44"/>
      <c r="G289" s="44"/>
      <c r="H289" s="45"/>
      <c r="I289" s="44"/>
      <c r="J289" s="44"/>
      <c r="K289" s="44"/>
      <c r="L289" s="44"/>
      <c r="M289" s="44"/>
      <c r="N289" s="45"/>
      <c r="O289" s="44"/>
      <c r="P289" s="44"/>
      <c r="Q289" s="44"/>
      <c r="R289" s="44"/>
      <c r="S289" s="45"/>
      <c r="T289" s="44"/>
      <c r="U289" s="31"/>
    </row>
    <row r="290" ht="15.75" customHeight="1">
      <c r="A290" s="41" t="s">
        <v>153</v>
      </c>
      <c r="B290" s="41">
        <f>SUM(F290:S290)/36</f>
        <v>4</v>
      </c>
      <c r="C290" s="42" t="s">
        <v>295</v>
      </c>
      <c r="D290" s="43" t="s">
        <v>296</v>
      </c>
      <c r="E290" s="41" t="s">
        <v>169</v>
      </c>
      <c r="F290" s="44">
        <v>28</v>
      </c>
      <c r="G290" s="44">
        <v>0</v>
      </c>
      <c r="H290" s="45">
        <v>2</v>
      </c>
      <c r="I290" s="44">
        <v>24</v>
      </c>
      <c r="J290" s="44">
        <v>0</v>
      </c>
      <c r="K290" s="44">
        <v>4</v>
      </c>
      <c r="L290" s="44">
        <v>0</v>
      </c>
      <c r="M290" s="44">
        <v>0</v>
      </c>
      <c r="N290" s="45">
        <v>2</v>
      </c>
      <c r="O290" s="44">
        <v>4</v>
      </c>
      <c r="P290" s="44">
        <v>2</v>
      </c>
      <c r="Q290" s="44">
        <v>54</v>
      </c>
      <c r="R290" s="44">
        <v>0</v>
      </c>
      <c r="S290" s="45">
        <v>24</v>
      </c>
      <c r="T290" s="44">
        <v>24</v>
      </c>
      <c r="U290" s="31"/>
    </row>
    <row r="291" ht="15.75" customHeight="1">
      <c r="A291" s="46"/>
      <c r="B291" s="46"/>
      <c r="C291" s="42"/>
      <c r="D291" s="43" t="s">
        <v>297</v>
      </c>
      <c r="E291" s="46"/>
      <c r="F291" s="44"/>
      <c r="G291" s="44"/>
      <c r="H291" s="45"/>
      <c r="I291" s="44"/>
      <c r="J291" s="44"/>
      <c r="K291" s="44"/>
      <c r="L291" s="44"/>
      <c r="M291" s="44"/>
      <c r="N291" s="45"/>
      <c r="O291" s="44"/>
      <c r="P291" s="44"/>
      <c r="Q291" s="44"/>
      <c r="R291" s="44"/>
      <c r="S291" s="45"/>
      <c r="T291" s="44"/>
      <c r="U291" s="31"/>
    </row>
    <row r="292" ht="17.25" customHeight="1">
      <c r="A292" s="40" t="s">
        <v>186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6"/>
      <c r="U292" s="31"/>
    </row>
    <row r="293" ht="17.25" customHeight="1">
      <c r="A293" s="48" t="s">
        <v>187</v>
      </c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50"/>
      <c r="U293" s="31"/>
    </row>
    <row r="294" ht="17.25" customHeight="1">
      <c r="A294" s="51" t="s">
        <v>188</v>
      </c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50"/>
      <c r="U294" s="31"/>
    </row>
    <row r="295" ht="15.75" customHeight="1">
      <c r="A295" s="41" t="s">
        <v>153</v>
      </c>
      <c r="B295" s="41">
        <v>3</v>
      </c>
      <c r="C295" s="42" t="s">
        <v>36</v>
      </c>
      <c r="D295" s="43" t="s">
        <v>189</v>
      </c>
      <c r="E295" s="41" t="s">
        <v>160</v>
      </c>
      <c r="F295" s="44">
        <v>0</v>
      </c>
      <c r="G295" s="44">
        <v>0</v>
      </c>
      <c r="H295" s="45">
        <v>0</v>
      </c>
      <c r="I295" s="44">
        <v>58</v>
      </c>
      <c r="J295" s="44">
        <v>0</v>
      </c>
      <c r="K295" s="44">
        <v>0</v>
      </c>
      <c r="L295" s="44">
        <v>0</v>
      </c>
      <c r="M295" s="44">
        <v>0</v>
      </c>
      <c r="N295" s="45">
        <v>2</v>
      </c>
      <c r="O295" s="44">
        <v>18</v>
      </c>
      <c r="P295" s="44">
        <v>30</v>
      </c>
      <c r="Q295" s="44">
        <v>0</v>
      </c>
      <c r="R295" s="44">
        <v>0</v>
      </c>
      <c r="S295" s="45">
        <v>0</v>
      </c>
      <c r="T295" s="44">
        <v>108</v>
      </c>
      <c r="U295" s="31"/>
    </row>
    <row r="296" ht="15.75" customHeight="1">
      <c r="A296" s="46"/>
      <c r="B296" s="46"/>
      <c r="C296" s="42"/>
      <c r="D296" s="43" t="s">
        <v>190</v>
      </c>
      <c r="E296" s="46"/>
      <c r="F296" s="44"/>
      <c r="G296" s="44"/>
      <c r="H296" s="45"/>
      <c r="I296" s="44"/>
      <c r="J296" s="44"/>
      <c r="K296" s="44"/>
      <c r="L296" s="44"/>
      <c r="M296" s="44"/>
      <c r="N296" s="45"/>
      <c r="O296" s="44"/>
      <c r="P296" s="44"/>
      <c r="Q296" s="44"/>
      <c r="R296" s="44"/>
      <c r="S296" s="45"/>
      <c r="T296" s="44"/>
      <c r="U296" s="31"/>
    </row>
    <row r="297" ht="17.25" customHeight="1">
      <c r="A297" s="51" t="s">
        <v>191</v>
      </c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50"/>
      <c r="U297" s="31"/>
    </row>
    <row r="298" ht="15.75" customHeight="1">
      <c r="A298" s="41" t="s">
        <v>153</v>
      </c>
      <c r="B298" s="41">
        <v>3</v>
      </c>
      <c r="C298" s="42" t="s">
        <v>36</v>
      </c>
      <c r="D298" s="43" t="s">
        <v>192</v>
      </c>
      <c r="E298" s="41" t="s">
        <v>160</v>
      </c>
      <c r="F298" s="44">
        <v>0</v>
      </c>
      <c r="G298" s="44">
        <v>0</v>
      </c>
      <c r="H298" s="45">
        <v>0</v>
      </c>
      <c r="I298" s="44">
        <v>58</v>
      </c>
      <c r="J298" s="44">
        <v>0</v>
      </c>
      <c r="K298" s="44">
        <v>0</v>
      </c>
      <c r="L298" s="44">
        <v>0</v>
      </c>
      <c r="M298" s="44">
        <v>0</v>
      </c>
      <c r="N298" s="45">
        <v>2</v>
      </c>
      <c r="O298" s="44">
        <v>48</v>
      </c>
      <c r="P298" s="44">
        <v>0</v>
      </c>
      <c r="Q298" s="44">
        <v>0</v>
      </c>
      <c r="R298" s="44">
        <v>0</v>
      </c>
      <c r="S298" s="45">
        <v>0</v>
      </c>
      <c r="T298" s="44">
        <v>108</v>
      </c>
      <c r="U298" s="31"/>
    </row>
    <row r="299" ht="15.75" customHeight="1">
      <c r="A299" s="46"/>
      <c r="B299" s="46"/>
      <c r="C299" s="42"/>
      <c r="D299" s="43" t="s">
        <v>190</v>
      </c>
      <c r="E299" s="46"/>
      <c r="F299" s="44"/>
      <c r="G299" s="44"/>
      <c r="H299" s="45"/>
      <c r="I299" s="44"/>
      <c r="J299" s="44"/>
      <c r="K299" s="44"/>
      <c r="L299" s="44"/>
      <c r="M299" s="44"/>
      <c r="N299" s="45"/>
      <c r="O299" s="44"/>
      <c r="P299" s="44"/>
      <c r="Q299" s="44"/>
      <c r="R299" s="44"/>
      <c r="S299" s="45"/>
      <c r="T299" s="44"/>
      <c r="U299" s="31"/>
    </row>
    <row r="300" ht="17.25" customHeight="1">
      <c r="A300" s="51" t="s">
        <v>193</v>
      </c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50"/>
      <c r="U300" s="31"/>
    </row>
    <row r="301" ht="15.75" customHeight="1">
      <c r="A301" s="41" t="s">
        <v>153</v>
      </c>
      <c r="B301" s="41">
        <v>3</v>
      </c>
      <c r="C301" s="42" t="s">
        <v>36</v>
      </c>
      <c r="D301" s="43" t="s">
        <v>194</v>
      </c>
      <c r="E301" s="41" t="s">
        <v>160</v>
      </c>
      <c r="F301" s="44">
        <v>0</v>
      </c>
      <c r="G301" s="44">
        <v>0</v>
      </c>
      <c r="H301" s="45">
        <v>0</v>
      </c>
      <c r="I301" s="44">
        <v>58</v>
      </c>
      <c r="J301" s="44">
        <v>0</v>
      </c>
      <c r="K301" s="44">
        <v>0</v>
      </c>
      <c r="L301" s="44">
        <v>0</v>
      </c>
      <c r="M301" s="44">
        <v>0</v>
      </c>
      <c r="N301" s="45">
        <v>2</v>
      </c>
      <c r="O301" s="44">
        <v>48</v>
      </c>
      <c r="P301" s="44">
        <v>0</v>
      </c>
      <c r="Q301" s="44">
        <v>0</v>
      </c>
      <c r="R301" s="44">
        <v>0</v>
      </c>
      <c r="S301" s="45">
        <v>0</v>
      </c>
      <c r="T301" s="44">
        <v>108</v>
      </c>
      <c r="U301" s="31"/>
    </row>
    <row r="302" ht="15.75" customHeight="1">
      <c r="A302" s="46"/>
      <c r="B302" s="46"/>
      <c r="C302" s="42"/>
      <c r="D302" s="43" t="s">
        <v>190</v>
      </c>
      <c r="E302" s="46"/>
      <c r="F302" s="44"/>
      <c r="G302" s="44"/>
      <c r="H302" s="45"/>
      <c r="I302" s="44"/>
      <c r="J302" s="44"/>
      <c r="K302" s="44"/>
      <c r="L302" s="44"/>
      <c r="M302" s="44"/>
      <c r="N302" s="45"/>
      <c r="O302" s="44"/>
      <c r="P302" s="44"/>
      <c r="Q302" s="44"/>
      <c r="R302" s="44"/>
      <c r="S302" s="45"/>
      <c r="T302" s="44"/>
      <c r="U302" s="31"/>
    </row>
    <row r="303" ht="17.25" customHeight="1">
      <c r="A303" s="51" t="s">
        <v>195</v>
      </c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50"/>
      <c r="U303" s="31"/>
    </row>
    <row r="304" ht="15.75" customHeight="1">
      <c r="A304" s="41" t="s">
        <v>153</v>
      </c>
      <c r="B304" s="41">
        <v>3</v>
      </c>
      <c r="C304" s="42" t="s">
        <v>36</v>
      </c>
      <c r="D304" s="43" t="s">
        <v>196</v>
      </c>
      <c r="E304" s="41" t="s">
        <v>160</v>
      </c>
      <c r="F304" s="44">
        <v>0</v>
      </c>
      <c r="G304" s="44">
        <v>0</v>
      </c>
      <c r="H304" s="45">
        <v>0</v>
      </c>
      <c r="I304" s="44">
        <v>30</v>
      </c>
      <c r="J304" s="44">
        <v>0</v>
      </c>
      <c r="K304" s="44">
        <v>0</v>
      </c>
      <c r="L304" s="44">
        <v>0</v>
      </c>
      <c r="M304" s="44">
        <v>0</v>
      </c>
      <c r="N304" s="45">
        <v>2</v>
      </c>
      <c r="O304" s="44">
        <v>76</v>
      </c>
      <c r="P304" s="44">
        <v>0</v>
      </c>
      <c r="Q304" s="44">
        <v>0</v>
      </c>
      <c r="R304" s="44">
        <v>0</v>
      </c>
      <c r="S304" s="45">
        <v>0</v>
      </c>
      <c r="T304" s="44">
        <v>108</v>
      </c>
      <c r="U304" s="31"/>
    </row>
    <row r="305" ht="15.75" customHeight="1">
      <c r="A305" s="46"/>
      <c r="B305" s="46"/>
      <c r="C305" s="42"/>
      <c r="D305" s="43" t="s">
        <v>190</v>
      </c>
      <c r="E305" s="46"/>
      <c r="F305" s="44"/>
      <c r="G305" s="44"/>
      <c r="H305" s="45"/>
      <c r="I305" s="44"/>
      <c r="J305" s="44"/>
      <c r="K305" s="44"/>
      <c r="L305" s="44"/>
      <c r="M305" s="44"/>
      <c r="N305" s="45"/>
      <c r="O305" s="44"/>
      <c r="P305" s="44"/>
      <c r="Q305" s="44"/>
      <c r="R305" s="44"/>
      <c r="S305" s="45"/>
      <c r="T305" s="44"/>
      <c r="U305" s="31"/>
    </row>
    <row r="306" ht="17.25" customHeight="1">
      <c r="A306" s="51" t="s">
        <v>197</v>
      </c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50"/>
      <c r="U306" s="31"/>
    </row>
    <row r="307" ht="15.75" customHeight="1">
      <c r="A307" s="41" t="s">
        <v>153</v>
      </c>
      <c r="B307" s="41">
        <v>3</v>
      </c>
      <c r="C307" s="42" t="s">
        <v>36</v>
      </c>
      <c r="D307" s="43" t="s">
        <v>198</v>
      </c>
      <c r="E307" s="41" t="s">
        <v>160</v>
      </c>
      <c r="F307" s="44">
        <v>0</v>
      </c>
      <c r="G307" s="44">
        <v>0</v>
      </c>
      <c r="H307" s="45">
        <v>0</v>
      </c>
      <c r="I307" s="44">
        <v>58</v>
      </c>
      <c r="J307" s="44">
        <v>0</v>
      </c>
      <c r="K307" s="44">
        <v>0</v>
      </c>
      <c r="L307" s="44">
        <v>0</v>
      </c>
      <c r="M307" s="44">
        <v>0</v>
      </c>
      <c r="N307" s="45">
        <v>2</v>
      </c>
      <c r="O307" s="44">
        <v>18</v>
      </c>
      <c r="P307" s="44">
        <v>30</v>
      </c>
      <c r="Q307" s="44">
        <v>0</v>
      </c>
      <c r="R307" s="44">
        <v>0</v>
      </c>
      <c r="S307" s="45">
        <v>0</v>
      </c>
      <c r="T307" s="44">
        <v>108</v>
      </c>
      <c r="U307" s="31"/>
    </row>
    <row r="308" ht="15.75" customHeight="1">
      <c r="A308" s="46"/>
      <c r="B308" s="46"/>
      <c r="C308" s="42"/>
      <c r="D308" s="43" t="s">
        <v>199</v>
      </c>
      <c r="E308" s="46"/>
      <c r="F308" s="44"/>
      <c r="G308" s="44"/>
      <c r="H308" s="45"/>
      <c r="I308" s="44"/>
      <c r="J308" s="44"/>
      <c r="K308" s="44"/>
      <c r="L308" s="44"/>
      <c r="M308" s="44"/>
      <c r="N308" s="45"/>
      <c r="O308" s="44"/>
      <c r="P308" s="44"/>
      <c r="Q308" s="44"/>
      <c r="R308" s="44"/>
      <c r="S308" s="45"/>
      <c r="T308" s="44"/>
      <c r="U308" s="31"/>
    </row>
    <row r="309" ht="17.25" customHeight="1">
      <c r="A309" s="51" t="s">
        <v>200</v>
      </c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50"/>
      <c r="U309" s="31"/>
    </row>
    <row r="310" ht="15.75" customHeight="1">
      <c r="A310" s="41" t="s">
        <v>153</v>
      </c>
      <c r="B310" s="41">
        <v>3</v>
      </c>
      <c r="C310" s="42" t="s">
        <v>36</v>
      </c>
      <c r="D310" s="43" t="s">
        <v>201</v>
      </c>
      <c r="E310" s="41" t="s">
        <v>160</v>
      </c>
      <c r="F310" s="44">
        <v>0</v>
      </c>
      <c r="G310" s="44">
        <v>0</v>
      </c>
      <c r="H310" s="45">
        <v>0</v>
      </c>
      <c r="I310" s="44">
        <v>58</v>
      </c>
      <c r="J310" s="44">
        <v>0</v>
      </c>
      <c r="K310" s="44">
        <v>0</v>
      </c>
      <c r="L310" s="44">
        <v>0</v>
      </c>
      <c r="M310" s="44">
        <v>0</v>
      </c>
      <c r="N310" s="45">
        <v>2</v>
      </c>
      <c r="O310" s="44">
        <v>48</v>
      </c>
      <c r="P310" s="44">
        <v>0</v>
      </c>
      <c r="Q310" s="44">
        <v>0</v>
      </c>
      <c r="R310" s="44">
        <v>0</v>
      </c>
      <c r="S310" s="45">
        <v>0</v>
      </c>
      <c r="T310" s="44">
        <v>108</v>
      </c>
      <c r="U310" s="31"/>
    </row>
    <row r="311" ht="15.75" customHeight="1">
      <c r="A311" s="46"/>
      <c r="B311" s="46"/>
      <c r="C311" s="42"/>
      <c r="D311" s="43" t="s">
        <v>199</v>
      </c>
      <c r="E311" s="46"/>
      <c r="F311" s="44"/>
      <c r="G311" s="44"/>
      <c r="H311" s="45"/>
      <c r="I311" s="44"/>
      <c r="J311" s="44"/>
      <c r="K311" s="44"/>
      <c r="L311" s="44"/>
      <c r="M311" s="44"/>
      <c r="N311" s="45"/>
      <c r="O311" s="44"/>
      <c r="P311" s="44"/>
      <c r="Q311" s="44"/>
      <c r="R311" s="44"/>
      <c r="S311" s="45"/>
      <c r="T311" s="44"/>
      <c r="U311" s="31"/>
    </row>
    <row r="312" ht="17.25" customHeight="1">
      <c r="A312" s="40" t="s">
        <v>202</v>
      </c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6"/>
      <c r="U312" s="31"/>
    </row>
    <row r="313" ht="17.25" customHeight="1">
      <c r="A313" s="48" t="s">
        <v>203</v>
      </c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50"/>
      <c r="U313" s="31"/>
    </row>
    <row r="314" ht="17.25" customHeight="1">
      <c r="A314" s="48" t="s">
        <v>204</v>
      </c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50"/>
      <c r="U314" s="31"/>
    </row>
    <row r="315" ht="15.75" customHeight="1">
      <c r="A315" s="41" t="s">
        <v>153</v>
      </c>
      <c r="B315" s="44" t="s">
        <v>205</v>
      </c>
      <c r="C315" s="42" t="s">
        <v>36</v>
      </c>
      <c r="D315" s="43" t="s">
        <v>206</v>
      </c>
      <c r="E315" s="44" t="s">
        <v>207</v>
      </c>
      <c r="F315" s="52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4"/>
      <c r="U315" s="31"/>
    </row>
    <row r="316" ht="15.75" customHeight="1">
      <c r="A316" s="47"/>
      <c r="B316" s="44" t="s">
        <v>231</v>
      </c>
      <c r="C316" s="42"/>
      <c r="D316" s="43" t="s">
        <v>298</v>
      </c>
      <c r="E316" s="44" t="s">
        <v>233</v>
      </c>
      <c r="F316" s="5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56"/>
      <c r="U316" s="31"/>
    </row>
    <row r="317" ht="15.75" customHeight="1">
      <c r="A317" s="47"/>
      <c r="B317" s="44"/>
      <c r="C317" s="42"/>
      <c r="D317" s="43" t="s">
        <v>299</v>
      </c>
      <c r="E317" s="44"/>
      <c r="F317" s="57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9"/>
      <c r="U317" s="31"/>
    </row>
    <row r="318" ht="15.75" customHeight="1">
      <c r="A318" s="47"/>
      <c r="B318" s="44"/>
      <c r="C318" s="42"/>
      <c r="D318" s="43" t="s">
        <v>235</v>
      </c>
      <c r="E318" s="44" t="s">
        <v>213</v>
      </c>
      <c r="F318" s="52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4"/>
      <c r="U318" s="31"/>
    </row>
    <row r="319" ht="15.75" customHeight="1">
      <c r="A319" s="46"/>
      <c r="B319" s="44"/>
      <c r="C319" s="42"/>
      <c r="D319" s="43"/>
      <c r="E319" s="44" t="s">
        <v>214</v>
      </c>
      <c r="F319" s="57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9"/>
      <c r="U319" s="31"/>
    </row>
    <row r="320" ht="15.75" customHeight="1">
      <c r="A320" s="41"/>
      <c r="B320" s="41">
        <v>1</v>
      </c>
      <c r="C320" s="42" t="s">
        <v>36</v>
      </c>
      <c r="D320" s="43" t="s">
        <v>300</v>
      </c>
      <c r="E320" s="41" t="s">
        <v>160</v>
      </c>
      <c r="F320" s="44">
        <v>0</v>
      </c>
      <c r="G320" s="44">
        <v>0</v>
      </c>
      <c r="H320" s="45">
        <v>0</v>
      </c>
      <c r="I320" s="44">
        <v>0</v>
      </c>
      <c r="J320" s="44">
        <v>0</v>
      </c>
      <c r="K320" s="44">
        <v>0</v>
      </c>
      <c r="L320" s="44">
        <v>0</v>
      </c>
      <c r="M320" s="44">
        <v>0</v>
      </c>
      <c r="N320" s="45">
        <v>2</v>
      </c>
      <c r="O320" s="44">
        <v>0</v>
      </c>
      <c r="P320" s="44">
        <v>0</v>
      </c>
      <c r="Q320" s="44">
        <v>34</v>
      </c>
      <c r="R320" s="44">
        <v>0</v>
      </c>
      <c r="S320" s="45">
        <v>0</v>
      </c>
      <c r="T320" s="44">
        <v>0</v>
      </c>
      <c r="U320" s="31"/>
    </row>
    <row r="321" ht="15.75" customHeight="1">
      <c r="A321" s="47"/>
      <c r="B321" s="46"/>
      <c r="C321" s="42"/>
      <c r="D321" s="43" t="s">
        <v>237</v>
      </c>
      <c r="E321" s="46"/>
      <c r="F321" s="44"/>
      <c r="G321" s="44"/>
      <c r="H321" s="45"/>
      <c r="I321" s="44"/>
      <c r="J321" s="44"/>
      <c r="K321" s="44"/>
      <c r="L321" s="44"/>
      <c r="M321" s="44"/>
      <c r="N321" s="45"/>
      <c r="O321" s="44"/>
      <c r="P321" s="44"/>
      <c r="Q321" s="44"/>
      <c r="R321" s="44"/>
      <c r="S321" s="45"/>
      <c r="T321" s="44"/>
      <c r="U321" s="31"/>
    </row>
    <row r="322" ht="15.75" customHeight="1">
      <c r="A322" s="47"/>
      <c r="B322" s="41">
        <v>1</v>
      </c>
      <c r="C322" s="42" t="s">
        <v>36</v>
      </c>
      <c r="D322" s="43" t="s">
        <v>301</v>
      </c>
      <c r="E322" s="41" t="s">
        <v>160</v>
      </c>
      <c r="F322" s="44">
        <v>0</v>
      </c>
      <c r="G322" s="44">
        <v>0</v>
      </c>
      <c r="H322" s="45">
        <v>0</v>
      </c>
      <c r="I322" s="44">
        <v>0</v>
      </c>
      <c r="J322" s="44">
        <v>0</v>
      </c>
      <c r="K322" s="44">
        <v>0</v>
      </c>
      <c r="L322" s="44">
        <v>0</v>
      </c>
      <c r="M322" s="44">
        <v>0</v>
      </c>
      <c r="N322" s="45">
        <v>2</v>
      </c>
      <c r="O322" s="44">
        <v>0</v>
      </c>
      <c r="P322" s="44">
        <v>0</v>
      </c>
      <c r="Q322" s="44">
        <v>34</v>
      </c>
      <c r="R322" s="44">
        <v>0</v>
      </c>
      <c r="S322" s="45">
        <v>0</v>
      </c>
      <c r="T322" s="44">
        <v>0</v>
      </c>
      <c r="U322" s="31"/>
    </row>
    <row r="323" ht="15.75" customHeight="1">
      <c r="A323" s="46"/>
      <c r="B323" s="46"/>
      <c r="C323" s="42"/>
      <c r="D323" s="43" t="s">
        <v>239</v>
      </c>
      <c r="E323" s="46"/>
      <c r="F323" s="44"/>
      <c r="G323" s="44"/>
      <c r="H323" s="45"/>
      <c r="I323" s="44"/>
      <c r="J323" s="44"/>
      <c r="K323" s="44"/>
      <c r="L323" s="44"/>
      <c r="M323" s="44"/>
      <c r="N323" s="45"/>
      <c r="O323" s="44"/>
      <c r="P323" s="44"/>
      <c r="Q323" s="44"/>
      <c r="R323" s="44"/>
      <c r="S323" s="45"/>
      <c r="T323" s="44"/>
      <c r="U323" s="31"/>
    </row>
    <row r="324" ht="15.75" customHeight="1">
      <c r="A324" s="41" t="s">
        <v>153</v>
      </c>
      <c r="B324" s="44" t="s">
        <v>205</v>
      </c>
      <c r="C324" s="42" t="s">
        <v>36</v>
      </c>
      <c r="D324" s="43" t="s">
        <v>206</v>
      </c>
      <c r="E324" s="44" t="s">
        <v>207</v>
      </c>
      <c r="F324" s="52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4"/>
      <c r="U324" s="31"/>
    </row>
    <row r="325" ht="15.75" customHeight="1">
      <c r="A325" s="47"/>
      <c r="B325" s="44" t="s">
        <v>208</v>
      </c>
      <c r="C325" s="42"/>
      <c r="D325" s="43" t="s">
        <v>302</v>
      </c>
      <c r="E325" s="44" t="s">
        <v>210</v>
      </c>
      <c r="F325" s="5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56"/>
      <c r="U325" s="31"/>
    </row>
    <row r="326" ht="15.75" customHeight="1">
      <c r="A326" s="47"/>
      <c r="B326" s="44"/>
      <c r="C326" s="42"/>
      <c r="D326" s="43" t="s">
        <v>303</v>
      </c>
      <c r="E326" s="44"/>
      <c r="F326" s="57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9"/>
      <c r="U326" s="31"/>
    </row>
    <row r="327" ht="15.75" customHeight="1">
      <c r="A327" s="47"/>
      <c r="B327" s="44"/>
      <c r="C327" s="42"/>
      <c r="D327" s="43" t="s">
        <v>212</v>
      </c>
      <c r="E327" s="44" t="s">
        <v>213</v>
      </c>
      <c r="F327" s="52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4"/>
      <c r="U327" s="31"/>
    </row>
    <row r="328" ht="15.75" customHeight="1">
      <c r="A328" s="46"/>
      <c r="B328" s="44"/>
      <c r="C328" s="42"/>
      <c r="D328" s="43"/>
      <c r="E328" s="44" t="s">
        <v>214</v>
      </c>
      <c r="F328" s="57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9"/>
      <c r="U328" s="31"/>
    </row>
    <row r="329" ht="15.75" customHeight="1">
      <c r="A329" s="41"/>
      <c r="B329" s="41">
        <v>2</v>
      </c>
      <c r="C329" s="42" t="s">
        <v>36</v>
      </c>
      <c r="D329" s="43" t="s">
        <v>304</v>
      </c>
      <c r="E329" s="41" t="s">
        <v>160</v>
      </c>
      <c r="F329" s="44">
        <v>0</v>
      </c>
      <c r="G329" s="44">
        <v>0</v>
      </c>
      <c r="H329" s="45">
        <v>0</v>
      </c>
      <c r="I329" s="44">
        <v>0</v>
      </c>
      <c r="J329" s="44">
        <v>0</v>
      </c>
      <c r="K329" s="44">
        <v>0</v>
      </c>
      <c r="L329" s="44">
        <v>0</v>
      </c>
      <c r="M329" s="44">
        <v>0</v>
      </c>
      <c r="N329" s="45">
        <v>2</v>
      </c>
      <c r="O329" s="44">
        <v>0</v>
      </c>
      <c r="P329" s="44">
        <v>0</v>
      </c>
      <c r="Q329" s="44">
        <v>70</v>
      </c>
      <c r="R329" s="44">
        <v>0</v>
      </c>
      <c r="S329" s="45">
        <v>0</v>
      </c>
      <c r="T329" s="44">
        <v>0</v>
      </c>
      <c r="U329" s="31"/>
    </row>
    <row r="330" ht="15.75" customHeight="1">
      <c r="A330" s="47"/>
      <c r="B330" s="46"/>
      <c r="C330" s="42"/>
      <c r="D330" s="43" t="s">
        <v>216</v>
      </c>
      <c r="E330" s="46"/>
      <c r="F330" s="44"/>
      <c r="G330" s="44"/>
      <c r="H330" s="45"/>
      <c r="I330" s="44"/>
      <c r="J330" s="44"/>
      <c r="K330" s="44"/>
      <c r="L330" s="44"/>
      <c r="M330" s="44"/>
      <c r="N330" s="45"/>
      <c r="O330" s="44"/>
      <c r="P330" s="44"/>
      <c r="Q330" s="44"/>
      <c r="R330" s="44"/>
      <c r="S330" s="45"/>
      <c r="T330" s="44"/>
      <c r="U330" s="31"/>
    </row>
    <row r="331" ht="15.75" customHeight="1">
      <c r="A331" s="47"/>
      <c r="B331" s="41">
        <v>2</v>
      </c>
      <c r="C331" s="42" t="s">
        <v>36</v>
      </c>
      <c r="D331" s="43" t="s">
        <v>305</v>
      </c>
      <c r="E331" s="41" t="s">
        <v>160</v>
      </c>
      <c r="F331" s="44">
        <v>0</v>
      </c>
      <c r="G331" s="44">
        <v>0</v>
      </c>
      <c r="H331" s="45">
        <v>0</v>
      </c>
      <c r="I331" s="44">
        <v>0</v>
      </c>
      <c r="J331" s="44">
        <v>0</v>
      </c>
      <c r="K331" s="44">
        <v>0</v>
      </c>
      <c r="L331" s="44">
        <v>0</v>
      </c>
      <c r="M331" s="44">
        <v>0</v>
      </c>
      <c r="N331" s="45">
        <v>2</v>
      </c>
      <c r="O331" s="44">
        <v>0</v>
      </c>
      <c r="P331" s="44">
        <v>0</v>
      </c>
      <c r="Q331" s="44">
        <v>70</v>
      </c>
      <c r="R331" s="44">
        <v>0</v>
      </c>
      <c r="S331" s="45">
        <v>0</v>
      </c>
      <c r="T331" s="44">
        <v>0</v>
      </c>
      <c r="U331" s="31"/>
    </row>
    <row r="332" ht="15.75" customHeight="1">
      <c r="A332" s="47"/>
      <c r="B332" s="46"/>
      <c r="C332" s="42"/>
      <c r="D332" s="43" t="s">
        <v>218</v>
      </c>
      <c r="E332" s="46"/>
      <c r="F332" s="44"/>
      <c r="G332" s="44"/>
      <c r="H332" s="45"/>
      <c r="I332" s="44"/>
      <c r="J332" s="44"/>
      <c r="K332" s="44"/>
      <c r="L332" s="44"/>
      <c r="M332" s="44"/>
      <c r="N332" s="45"/>
      <c r="O332" s="44"/>
      <c r="P332" s="44"/>
      <c r="Q332" s="44"/>
      <c r="R332" s="44"/>
      <c r="S332" s="45"/>
      <c r="T332" s="44"/>
      <c r="U332" s="31"/>
    </row>
    <row r="333" ht="15.75" customHeight="1">
      <c r="A333" s="47"/>
      <c r="B333" s="41">
        <v>1</v>
      </c>
      <c r="C333" s="42" t="s">
        <v>36</v>
      </c>
      <c r="D333" s="43" t="s">
        <v>306</v>
      </c>
      <c r="E333" s="41" t="s">
        <v>160</v>
      </c>
      <c r="F333" s="44">
        <v>0</v>
      </c>
      <c r="G333" s="44">
        <v>0</v>
      </c>
      <c r="H333" s="45">
        <v>0</v>
      </c>
      <c r="I333" s="44">
        <v>0</v>
      </c>
      <c r="J333" s="44">
        <v>0</v>
      </c>
      <c r="K333" s="44">
        <v>0</v>
      </c>
      <c r="L333" s="44">
        <v>0</v>
      </c>
      <c r="M333" s="44">
        <v>0</v>
      </c>
      <c r="N333" s="45">
        <v>2</v>
      </c>
      <c r="O333" s="44">
        <v>0</v>
      </c>
      <c r="P333" s="44">
        <v>0</v>
      </c>
      <c r="Q333" s="44">
        <v>34</v>
      </c>
      <c r="R333" s="44">
        <v>0</v>
      </c>
      <c r="S333" s="45">
        <v>0</v>
      </c>
      <c r="T333" s="44">
        <v>0</v>
      </c>
      <c r="U333" s="31"/>
    </row>
    <row r="334" ht="15.75" customHeight="1">
      <c r="A334" s="47"/>
      <c r="B334" s="46"/>
      <c r="C334" s="42"/>
      <c r="D334" s="43" t="s">
        <v>220</v>
      </c>
      <c r="E334" s="46"/>
      <c r="F334" s="44"/>
      <c r="G334" s="44"/>
      <c r="H334" s="45"/>
      <c r="I334" s="44"/>
      <c r="J334" s="44"/>
      <c r="K334" s="44"/>
      <c r="L334" s="44"/>
      <c r="M334" s="44"/>
      <c r="N334" s="45"/>
      <c r="O334" s="44"/>
      <c r="P334" s="44"/>
      <c r="Q334" s="44"/>
      <c r="R334" s="44"/>
      <c r="S334" s="45"/>
      <c r="T334" s="44"/>
      <c r="U334" s="31"/>
    </row>
    <row r="335" ht="15.75" customHeight="1">
      <c r="A335" s="47"/>
      <c r="B335" s="41">
        <v>1</v>
      </c>
      <c r="C335" s="42" t="s">
        <v>36</v>
      </c>
      <c r="D335" s="43" t="s">
        <v>307</v>
      </c>
      <c r="E335" s="41" t="s">
        <v>160</v>
      </c>
      <c r="F335" s="44">
        <v>0</v>
      </c>
      <c r="G335" s="44">
        <v>0</v>
      </c>
      <c r="H335" s="45">
        <v>0</v>
      </c>
      <c r="I335" s="44">
        <v>0</v>
      </c>
      <c r="J335" s="44">
        <v>0</v>
      </c>
      <c r="K335" s="44">
        <v>0</v>
      </c>
      <c r="L335" s="44">
        <v>0</v>
      </c>
      <c r="M335" s="44">
        <v>0</v>
      </c>
      <c r="N335" s="45">
        <v>2</v>
      </c>
      <c r="O335" s="44">
        <v>0</v>
      </c>
      <c r="P335" s="44">
        <v>0</v>
      </c>
      <c r="Q335" s="44">
        <v>34</v>
      </c>
      <c r="R335" s="44">
        <v>0</v>
      </c>
      <c r="S335" s="45">
        <v>0</v>
      </c>
      <c r="T335" s="44">
        <v>0</v>
      </c>
      <c r="U335" s="31"/>
    </row>
    <row r="336" ht="15.75" customHeight="1">
      <c r="A336" s="47"/>
      <c r="B336" s="46"/>
      <c r="C336" s="42"/>
      <c r="D336" s="43" t="s">
        <v>222</v>
      </c>
      <c r="E336" s="46"/>
      <c r="F336" s="44"/>
      <c r="G336" s="44"/>
      <c r="H336" s="45"/>
      <c r="I336" s="44"/>
      <c r="J336" s="44"/>
      <c r="K336" s="44"/>
      <c r="L336" s="44"/>
      <c r="M336" s="44"/>
      <c r="N336" s="45"/>
      <c r="O336" s="44"/>
      <c r="P336" s="44"/>
      <c r="Q336" s="44"/>
      <c r="R336" s="44"/>
      <c r="S336" s="45"/>
      <c r="T336" s="44"/>
      <c r="U336" s="31"/>
    </row>
    <row r="337" ht="15.75" customHeight="1">
      <c r="A337" s="47"/>
      <c r="B337" s="41">
        <v>1</v>
      </c>
      <c r="C337" s="42" t="s">
        <v>36</v>
      </c>
      <c r="D337" s="43" t="s">
        <v>308</v>
      </c>
      <c r="E337" s="41" t="s">
        <v>160</v>
      </c>
      <c r="F337" s="44">
        <v>0</v>
      </c>
      <c r="G337" s="44">
        <v>0</v>
      </c>
      <c r="H337" s="45">
        <v>0</v>
      </c>
      <c r="I337" s="44">
        <v>0</v>
      </c>
      <c r="J337" s="44">
        <v>0</v>
      </c>
      <c r="K337" s="44">
        <v>0</v>
      </c>
      <c r="L337" s="44">
        <v>0</v>
      </c>
      <c r="M337" s="44">
        <v>0</v>
      </c>
      <c r="N337" s="45">
        <v>2</v>
      </c>
      <c r="O337" s="44">
        <v>0</v>
      </c>
      <c r="P337" s="44">
        <v>0</v>
      </c>
      <c r="Q337" s="44">
        <v>34</v>
      </c>
      <c r="R337" s="44">
        <v>0</v>
      </c>
      <c r="S337" s="45">
        <v>0</v>
      </c>
      <c r="T337" s="44">
        <v>0</v>
      </c>
      <c r="U337" s="31"/>
    </row>
    <row r="338" ht="15.75" customHeight="1">
      <c r="A338" s="47"/>
      <c r="B338" s="46"/>
      <c r="C338" s="42"/>
      <c r="D338" s="43" t="s">
        <v>224</v>
      </c>
      <c r="E338" s="46"/>
      <c r="F338" s="44"/>
      <c r="G338" s="44"/>
      <c r="H338" s="45"/>
      <c r="I338" s="44"/>
      <c r="J338" s="44"/>
      <c r="K338" s="44"/>
      <c r="L338" s="44"/>
      <c r="M338" s="44"/>
      <c r="N338" s="45"/>
      <c r="O338" s="44"/>
      <c r="P338" s="44"/>
      <c r="Q338" s="44"/>
      <c r="R338" s="44"/>
      <c r="S338" s="45"/>
      <c r="T338" s="44"/>
      <c r="U338" s="31"/>
    </row>
    <row r="339" ht="15.75" customHeight="1">
      <c r="A339" s="47"/>
      <c r="B339" s="41">
        <v>1</v>
      </c>
      <c r="C339" s="42" t="s">
        <v>36</v>
      </c>
      <c r="D339" s="43" t="s">
        <v>309</v>
      </c>
      <c r="E339" s="41" t="s">
        <v>160</v>
      </c>
      <c r="F339" s="44">
        <v>0</v>
      </c>
      <c r="G339" s="44">
        <v>0</v>
      </c>
      <c r="H339" s="45">
        <v>0</v>
      </c>
      <c r="I339" s="44">
        <v>0</v>
      </c>
      <c r="J339" s="44">
        <v>0</v>
      </c>
      <c r="K339" s="44">
        <v>0</v>
      </c>
      <c r="L339" s="44">
        <v>0</v>
      </c>
      <c r="M339" s="44">
        <v>0</v>
      </c>
      <c r="N339" s="45">
        <v>2</v>
      </c>
      <c r="O339" s="44">
        <v>0</v>
      </c>
      <c r="P339" s="44">
        <v>0</v>
      </c>
      <c r="Q339" s="44">
        <v>34</v>
      </c>
      <c r="R339" s="44">
        <v>0</v>
      </c>
      <c r="S339" s="45">
        <v>0</v>
      </c>
      <c r="T339" s="44">
        <v>0</v>
      </c>
      <c r="U339" s="31"/>
    </row>
    <row r="340" ht="15.75" customHeight="1">
      <c r="A340" s="47"/>
      <c r="B340" s="46"/>
      <c r="C340" s="42"/>
      <c r="D340" s="43" t="s">
        <v>226</v>
      </c>
      <c r="E340" s="46"/>
      <c r="F340" s="44"/>
      <c r="G340" s="44"/>
      <c r="H340" s="45"/>
      <c r="I340" s="44"/>
      <c r="J340" s="44"/>
      <c r="K340" s="44"/>
      <c r="L340" s="44"/>
      <c r="M340" s="44"/>
      <c r="N340" s="45"/>
      <c r="O340" s="44"/>
      <c r="P340" s="44"/>
      <c r="Q340" s="44"/>
      <c r="R340" s="44"/>
      <c r="S340" s="45"/>
      <c r="T340" s="44"/>
      <c r="U340" s="31"/>
    </row>
    <row r="341" ht="15.75" customHeight="1">
      <c r="A341" s="47"/>
      <c r="B341" s="41">
        <v>1</v>
      </c>
      <c r="C341" s="42" t="s">
        <v>36</v>
      </c>
      <c r="D341" s="43" t="s">
        <v>310</v>
      </c>
      <c r="E341" s="41" t="s">
        <v>160</v>
      </c>
      <c r="F341" s="44">
        <v>0</v>
      </c>
      <c r="G341" s="44">
        <v>0</v>
      </c>
      <c r="H341" s="45">
        <v>0</v>
      </c>
      <c r="I341" s="44">
        <v>0</v>
      </c>
      <c r="J341" s="44">
        <v>0</v>
      </c>
      <c r="K341" s="44">
        <v>0</v>
      </c>
      <c r="L341" s="44">
        <v>0</v>
      </c>
      <c r="M341" s="44">
        <v>0</v>
      </c>
      <c r="N341" s="45">
        <v>2</v>
      </c>
      <c r="O341" s="44">
        <v>0</v>
      </c>
      <c r="P341" s="44">
        <v>0</v>
      </c>
      <c r="Q341" s="44">
        <v>34</v>
      </c>
      <c r="R341" s="44">
        <v>0</v>
      </c>
      <c r="S341" s="45">
        <v>0</v>
      </c>
      <c r="T341" s="44">
        <v>0</v>
      </c>
      <c r="U341" s="31"/>
    </row>
    <row r="342" ht="15.75" customHeight="1">
      <c r="A342" s="46"/>
      <c r="B342" s="46"/>
      <c r="C342" s="42"/>
      <c r="D342" s="43" t="s">
        <v>228</v>
      </c>
      <c r="E342" s="46"/>
      <c r="F342" s="44"/>
      <c r="G342" s="44"/>
      <c r="H342" s="45"/>
      <c r="I342" s="44"/>
      <c r="J342" s="44"/>
      <c r="K342" s="44"/>
      <c r="L342" s="44"/>
      <c r="M342" s="44"/>
      <c r="N342" s="45"/>
      <c r="O342" s="44"/>
      <c r="P342" s="44"/>
      <c r="Q342" s="44"/>
      <c r="R342" s="44"/>
      <c r="S342" s="45"/>
      <c r="T342" s="44"/>
      <c r="U342" s="31"/>
    </row>
    <row r="343" ht="17.25" customHeight="1">
      <c r="A343" s="39" t="s">
        <v>311</v>
      </c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6"/>
      <c r="U343" s="31"/>
    </row>
    <row r="344" ht="17.25" customHeight="1">
      <c r="A344" s="40" t="s">
        <v>152</v>
      </c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6"/>
      <c r="U344" s="31"/>
    </row>
    <row r="345" ht="15.75" customHeight="1">
      <c r="A345" s="41" t="s">
        <v>153</v>
      </c>
      <c r="B345" s="41">
        <f>SUM(F345:S345)/36</f>
        <v>3</v>
      </c>
      <c r="C345" s="42" t="s">
        <v>312</v>
      </c>
      <c r="D345" s="43" t="s">
        <v>313</v>
      </c>
      <c r="E345" s="41" t="s">
        <v>160</v>
      </c>
      <c r="F345" s="44">
        <v>20</v>
      </c>
      <c r="G345" s="44">
        <v>12</v>
      </c>
      <c r="H345" s="45">
        <v>0</v>
      </c>
      <c r="I345" s="44">
        <v>0</v>
      </c>
      <c r="J345" s="44">
        <v>0</v>
      </c>
      <c r="K345" s="44">
        <v>0</v>
      </c>
      <c r="L345" s="44">
        <v>0</v>
      </c>
      <c r="M345" s="44">
        <v>0</v>
      </c>
      <c r="N345" s="45">
        <v>2</v>
      </c>
      <c r="O345" s="44">
        <v>0</v>
      </c>
      <c r="P345" s="44">
        <v>0</v>
      </c>
      <c r="Q345" s="44">
        <v>67</v>
      </c>
      <c r="R345" s="44">
        <v>0</v>
      </c>
      <c r="S345" s="45">
        <v>7</v>
      </c>
      <c r="T345" s="44">
        <v>12</v>
      </c>
      <c r="U345" s="31"/>
    </row>
    <row r="346" ht="15.75" customHeight="1">
      <c r="A346" s="46"/>
      <c r="B346" s="46"/>
      <c r="C346" s="42"/>
      <c r="D346" s="43" t="s">
        <v>314</v>
      </c>
      <c r="E346" s="46"/>
      <c r="F346" s="44"/>
      <c r="G346" s="44"/>
      <c r="H346" s="45"/>
      <c r="I346" s="44"/>
      <c r="J346" s="44"/>
      <c r="K346" s="44"/>
      <c r="L346" s="44"/>
      <c r="M346" s="44"/>
      <c r="N346" s="45"/>
      <c r="O346" s="44"/>
      <c r="P346" s="44"/>
      <c r="Q346" s="44"/>
      <c r="R346" s="44"/>
      <c r="S346" s="45"/>
      <c r="T346" s="44"/>
      <c r="U346" s="31"/>
    </row>
    <row r="347" ht="15.75" customHeight="1">
      <c r="A347" s="41" t="s">
        <v>153</v>
      </c>
      <c r="B347" s="41">
        <f>SUM(F347:S347)/36</f>
        <v>2</v>
      </c>
      <c r="C347" s="42" t="s">
        <v>154</v>
      </c>
      <c r="D347" s="43" t="s">
        <v>315</v>
      </c>
      <c r="E347" s="41" t="s">
        <v>160</v>
      </c>
      <c r="F347" s="44">
        <v>14</v>
      </c>
      <c r="G347" s="44">
        <v>14</v>
      </c>
      <c r="H347" s="45">
        <v>0</v>
      </c>
      <c r="I347" s="44">
        <v>0</v>
      </c>
      <c r="J347" s="44">
        <v>0</v>
      </c>
      <c r="K347" s="44">
        <v>0</v>
      </c>
      <c r="L347" s="44">
        <v>0</v>
      </c>
      <c r="M347" s="44">
        <v>0</v>
      </c>
      <c r="N347" s="45">
        <v>2</v>
      </c>
      <c r="O347" s="44">
        <v>0</v>
      </c>
      <c r="P347" s="44">
        <v>0</v>
      </c>
      <c r="Q347" s="44">
        <v>35</v>
      </c>
      <c r="R347" s="44">
        <v>0</v>
      </c>
      <c r="S347" s="45">
        <v>7</v>
      </c>
      <c r="T347" s="44">
        <v>14</v>
      </c>
      <c r="U347" s="31"/>
    </row>
    <row r="348" ht="15.75" customHeight="1">
      <c r="A348" s="46"/>
      <c r="B348" s="46"/>
      <c r="C348" s="42"/>
      <c r="D348" s="43" t="s">
        <v>316</v>
      </c>
      <c r="E348" s="46"/>
      <c r="F348" s="44"/>
      <c r="G348" s="44"/>
      <c r="H348" s="45"/>
      <c r="I348" s="44"/>
      <c r="J348" s="44"/>
      <c r="K348" s="44"/>
      <c r="L348" s="44"/>
      <c r="M348" s="44"/>
      <c r="N348" s="45"/>
      <c r="O348" s="44"/>
      <c r="P348" s="44"/>
      <c r="Q348" s="44"/>
      <c r="R348" s="44"/>
      <c r="S348" s="45"/>
      <c r="T348" s="44"/>
      <c r="U348" s="31"/>
    </row>
    <row r="349" ht="15.75" customHeight="1">
      <c r="A349" s="41" t="s">
        <v>153</v>
      </c>
      <c r="B349" s="41">
        <f>SUM(F349:S349)/36</f>
        <v>1</v>
      </c>
      <c r="C349" s="42" t="s">
        <v>317</v>
      </c>
      <c r="D349" s="43" t="s">
        <v>318</v>
      </c>
      <c r="E349" s="41" t="s">
        <v>160</v>
      </c>
      <c r="F349" s="44">
        <v>0</v>
      </c>
      <c r="G349" s="44">
        <v>0</v>
      </c>
      <c r="H349" s="45">
        <v>10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5">
        <v>2</v>
      </c>
      <c r="O349" s="44">
        <v>0</v>
      </c>
      <c r="P349" s="44">
        <v>0</v>
      </c>
      <c r="Q349" s="44">
        <v>24</v>
      </c>
      <c r="R349" s="44">
        <v>0</v>
      </c>
      <c r="S349" s="45">
        <v>0</v>
      </c>
      <c r="T349" s="44">
        <v>0</v>
      </c>
      <c r="U349" s="31"/>
    </row>
    <row r="350" ht="15.75" customHeight="1">
      <c r="A350" s="46"/>
      <c r="B350" s="46"/>
      <c r="C350" s="42"/>
      <c r="D350" s="43" t="s">
        <v>319</v>
      </c>
      <c r="E350" s="46"/>
      <c r="F350" s="44"/>
      <c r="G350" s="44"/>
      <c r="H350" s="45"/>
      <c r="I350" s="44"/>
      <c r="J350" s="44"/>
      <c r="K350" s="44"/>
      <c r="L350" s="44"/>
      <c r="M350" s="44"/>
      <c r="N350" s="45"/>
      <c r="O350" s="44"/>
      <c r="P350" s="44"/>
      <c r="Q350" s="44"/>
      <c r="R350" s="44"/>
      <c r="S350" s="45"/>
      <c r="T350" s="44"/>
      <c r="U350" s="31"/>
    </row>
    <row r="351" ht="15.75" customHeight="1">
      <c r="A351" s="41" t="s">
        <v>153</v>
      </c>
      <c r="B351" s="41">
        <v>0</v>
      </c>
      <c r="C351" s="42" t="s">
        <v>42</v>
      </c>
      <c r="D351" s="43" t="s">
        <v>171</v>
      </c>
      <c r="E351" s="41" t="s">
        <v>320</v>
      </c>
      <c r="F351" s="44">
        <v>0</v>
      </c>
      <c r="G351" s="44">
        <v>0</v>
      </c>
      <c r="H351" s="45">
        <v>0</v>
      </c>
      <c r="I351" s="44">
        <v>0</v>
      </c>
      <c r="J351" s="44">
        <v>0</v>
      </c>
      <c r="K351" s="44">
        <v>0</v>
      </c>
      <c r="L351" s="44">
        <v>0</v>
      </c>
      <c r="M351" s="44">
        <v>0</v>
      </c>
      <c r="N351" s="45">
        <v>0</v>
      </c>
      <c r="O351" s="44">
        <v>0</v>
      </c>
      <c r="P351" s="44">
        <v>62</v>
      </c>
      <c r="Q351" s="44">
        <v>98</v>
      </c>
      <c r="R351" s="44">
        <v>4</v>
      </c>
      <c r="S351" s="45">
        <v>0</v>
      </c>
      <c r="T351" s="44">
        <v>20</v>
      </c>
      <c r="U351" s="31"/>
    </row>
    <row r="352" ht="15.75" customHeight="1">
      <c r="A352" s="47"/>
      <c r="B352" s="47"/>
      <c r="C352" s="42"/>
      <c r="D352" s="43" t="s">
        <v>173</v>
      </c>
      <c r="E352" s="47"/>
      <c r="F352" s="44"/>
      <c r="G352" s="44"/>
      <c r="H352" s="45"/>
      <c r="I352" s="44"/>
      <c r="J352" s="44"/>
      <c r="K352" s="44"/>
      <c r="L352" s="44"/>
      <c r="M352" s="44"/>
      <c r="N352" s="45"/>
      <c r="O352" s="44"/>
      <c r="P352" s="44"/>
      <c r="Q352" s="44"/>
      <c r="R352" s="44"/>
      <c r="S352" s="45"/>
      <c r="T352" s="44"/>
      <c r="U352" s="31"/>
    </row>
    <row r="353" ht="15.75" customHeight="1">
      <c r="A353" s="47"/>
      <c r="B353" s="47"/>
      <c r="C353" s="42" t="s">
        <v>42</v>
      </c>
      <c r="D353" s="43" t="s">
        <v>174</v>
      </c>
      <c r="E353" s="47"/>
      <c r="F353" s="44">
        <v>0</v>
      </c>
      <c r="G353" s="44">
        <v>0</v>
      </c>
      <c r="H353" s="45">
        <v>0</v>
      </c>
      <c r="I353" s="44">
        <v>0</v>
      </c>
      <c r="J353" s="44">
        <v>0</v>
      </c>
      <c r="K353" s="44">
        <v>0</v>
      </c>
      <c r="L353" s="44">
        <v>0</v>
      </c>
      <c r="M353" s="44">
        <v>0</v>
      </c>
      <c r="N353" s="45">
        <v>0</v>
      </c>
      <c r="O353" s="44">
        <v>0</v>
      </c>
      <c r="P353" s="44">
        <v>62</v>
      </c>
      <c r="Q353" s="44">
        <v>98</v>
      </c>
      <c r="R353" s="44">
        <v>4</v>
      </c>
      <c r="S353" s="45">
        <v>0</v>
      </c>
      <c r="T353" s="44">
        <v>20</v>
      </c>
      <c r="U353" s="31"/>
    </row>
    <row r="354" ht="15.75" customHeight="1">
      <c r="A354" s="47"/>
      <c r="B354" s="47"/>
      <c r="C354" s="42"/>
      <c r="D354" s="43" t="s">
        <v>173</v>
      </c>
      <c r="E354" s="47"/>
      <c r="F354" s="44"/>
      <c r="G354" s="44"/>
      <c r="H354" s="45"/>
      <c r="I354" s="44"/>
      <c r="J354" s="44"/>
      <c r="K354" s="44"/>
      <c r="L354" s="44"/>
      <c r="M354" s="44"/>
      <c r="N354" s="45"/>
      <c r="O354" s="44"/>
      <c r="P354" s="44"/>
      <c r="Q354" s="44"/>
      <c r="R354" s="44"/>
      <c r="S354" s="45"/>
      <c r="T354" s="44"/>
      <c r="U354" s="31"/>
    </row>
    <row r="355" ht="15.75" customHeight="1">
      <c r="A355" s="47"/>
      <c r="B355" s="47"/>
      <c r="C355" s="42" t="s">
        <v>42</v>
      </c>
      <c r="D355" s="43" t="s">
        <v>175</v>
      </c>
      <c r="E355" s="47"/>
      <c r="F355" s="44">
        <v>0</v>
      </c>
      <c r="G355" s="44">
        <v>0</v>
      </c>
      <c r="H355" s="45">
        <v>0</v>
      </c>
      <c r="I355" s="44">
        <v>0</v>
      </c>
      <c r="J355" s="44">
        <v>0</v>
      </c>
      <c r="K355" s="44">
        <v>0</v>
      </c>
      <c r="L355" s="44">
        <v>0</v>
      </c>
      <c r="M355" s="44">
        <v>0</v>
      </c>
      <c r="N355" s="45">
        <v>0</v>
      </c>
      <c r="O355" s="44">
        <v>0</v>
      </c>
      <c r="P355" s="44">
        <v>62</v>
      </c>
      <c r="Q355" s="44">
        <v>98</v>
      </c>
      <c r="R355" s="44">
        <v>4</v>
      </c>
      <c r="S355" s="45">
        <v>0</v>
      </c>
      <c r="T355" s="44">
        <v>20</v>
      </c>
      <c r="U355" s="31"/>
    </row>
    <row r="356" ht="15.75" customHeight="1">
      <c r="A356" s="47"/>
      <c r="B356" s="47"/>
      <c r="C356" s="42"/>
      <c r="D356" s="43" t="s">
        <v>173</v>
      </c>
      <c r="E356" s="47"/>
      <c r="F356" s="44"/>
      <c r="G356" s="44"/>
      <c r="H356" s="45"/>
      <c r="I356" s="44"/>
      <c r="J356" s="44"/>
      <c r="K356" s="44"/>
      <c r="L356" s="44"/>
      <c r="M356" s="44"/>
      <c r="N356" s="45"/>
      <c r="O356" s="44"/>
      <c r="P356" s="44"/>
      <c r="Q356" s="44"/>
      <c r="R356" s="44"/>
      <c r="S356" s="45"/>
      <c r="T356" s="44"/>
      <c r="U356" s="31"/>
    </row>
    <row r="357" ht="15.75" customHeight="1">
      <c r="A357" s="47"/>
      <c r="B357" s="47"/>
      <c r="C357" s="42" t="s">
        <v>42</v>
      </c>
      <c r="D357" s="43" t="s">
        <v>176</v>
      </c>
      <c r="E357" s="47"/>
      <c r="F357" s="44">
        <v>0</v>
      </c>
      <c r="G357" s="44">
        <v>0</v>
      </c>
      <c r="H357" s="45">
        <v>0</v>
      </c>
      <c r="I357" s="44">
        <v>0</v>
      </c>
      <c r="J357" s="44">
        <v>0</v>
      </c>
      <c r="K357" s="44">
        <v>0</v>
      </c>
      <c r="L357" s="44">
        <v>0</v>
      </c>
      <c r="M357" s="44">
        <v>0</v>
      </c>
      <c r="N357" s="45">
        <v>0</v>
      </c>
      <c r="O357" s="44">
        <v>0</v>
      </c>
      <c r="P357" s="44">
        <v>0</v>
      </c>
      <c r="Q357" s="44">
        <v>160</v>
      </c>
      <c r="R357" s="44">
        <v>4</v>
      </c>
      <c r="S357" s="45">
        <v>0</v>
      </c>
      <c r="T357" s="44">
        <v>164</v>
      </c>
      <c r="U357" s="31"/>
    </row>
    <row r="358" ht="15.75" customHeight="1">
      <c r="A358" s="47"/>
      <c r="B358" s="47"/>
      <c r="C358" s="42"/>
      <c r="D358" s="43" t="s">
        <v>173</v>
      </c>
      <c r="E358" s="47"/>
      <c r="F358" s="44"/>
      <c r="G358" s="44"/>
      <c r="H358" s="45"/>
      <c r="I358" s="44"/>
      <c r="J358" s="44"/>
      <c r="K358" s="44"/>
      <c r="L358" s="44"/>
      <c r="M358" s="44"/>
      <c r="N358" s="45"/>
      <c r="O358" s="44"/>
      <c r="P358" s="44"/>
      <c r="Q358" s="44"/>
      <c r="R358" s="44"/>
      <c r="S358" s="45"/>
      <c r="T358" s="44"/>
      <c r="U358" s="31"/>
    </row>
    <row r="359" ht="15.75" customHeight="1">
      <c r="A359" s="47"/>
      <c r="B359" s="47"/>
      <c r="C359" s="42" t="s">
        <v>42</v>
      </c>
      <c r="D359" s="43" t="s">
        <v>177</v>
      </c>
      <c r="E359" s="47"/>
      <c r="F359" s="44">
        <v>0</v>
      </c>
      <c r="G359" s="44">
        <v>0</v>
      </c>
      <c r="H359" s="45">
        <v>0</v>
      </c>
      <c r="I359" s="44">
        <v>0</v>
      </c>
      <c r="J359" s="44">
        <v>0</v>
      </c>
      <c r="K359" s="44">
        <v>0</v>
      </c>
      <c r="L359" s="44">
        <v>0</v>
      </c>
      <c r="M359" s="44">
        <v>0</v>
      </c>
      <c r="N359" s="45">
        <v>0</v>
      </c>
      <c r="O359" s="44">
        <v>0</v>
      </c>
      <c r="P359" s="44">
        <v>62</v>
      </c>
      <c r="Q359" s="44">
        <v>98</v>
      </c>
      <c r="R359" s="44">
        <v>4</v>
      </c>
      <c r="S359" s="45">
        <v>0</v>
      </c>
      <c r="T359" s="44">
        <v>20</v>
      </c>
      <c r="U359" s="31"/>
    </row>
    <row r="360" ht="15.75" customHeight="1">
      <c r="A360" s="46"/>
      <c r="B360" s="46"/>
      <c r="C360" s="42"/>
      <c r="D360" s="43" t="s">
        <v>173</v>
      </c>
      <c r="E360" s="46"/>
      <c r="F360" s="44"/>
      <c r="G360" s="44"/>
      <c r="H360" s="45"/>
      <c r="I360" s="44"/>
      <c r="J360" s="44"/>
      <c r="K360" s="44"/>
      <c r="L360" s="44"/>
      <c r="M360" s="44"/>
      <c r="N360" s="45"/>
      <c r="O360" s="44"/>
      <c r="P360" s="44"/>
      <c r="Q360" s="44"/>
      <c r="R360" s="44"/>
      <c r="S360" s="45"/>
      <c r="T360" s="44"/>
      <c r="U360" s="31"/>
    </row>
    <row r="361" ht="15.75" customHeight="1">
      <c r="A361" s="41" t="s">
        <v>153</v>
      </c>
      <c r="B361" s="41">
        <f>SUM(F361:S361)/36</f>
        <v>4</v>
      </c>
      <c r="C361" s="42" t="s">
        <v>154</v>
      </c>
      <c r="D361" s="43" t="s">
        <v>321</v>
      </c>
      <c r="E361" s="41" t="s">
        <v>156</v>
      </c>
      <c r="F361" s="44">
        <v>28</v>
      </c>
      <c r="G361" s="44">
        <v>0</v>
      </c>
      <c r="H361" s="45">
        <v>2</v>
      </c>
      <c r="I361" s="44">
        <v>26</v>
      </c>
      <c r="J361" s="44">
        <v>0</v>
      </c>
      <c r="K361" s="44">
        <v>4</v>
      </c>
      <c r="L361" s="44">
        <v>0</v>
      </c>
      <c r="M361" s="44">
        <v>0</v>
      </c>
      <c r="N361" s="45">
        <v>4</v>
      </c>
      <c r="O361" s="44">
        <v>0</v>
      </c>
      <c r="P361" s="44">
        <v>0</v>
      </c>
      <c r="Q361" s="44">
        <v>49</v>
      </c>
      <c r="R361" s="44">
        <v>0</v>
      </c>
      <c r="S361" s="45">
        <v>31</v>
      </c>
      <c r="T361" s="44">
        <v>24</v>
      </c>
      <c r="U361" s="31"/>
    </row>
    <row r="362" ht="15.75" customHeight="1">
      <c r="A362" s="46"/>
      <c r="B362" s="46"/>
      <c r="C362" s="42"/>
      <c r="D362" s="43" t="s">
        <v>322</v>
      </c>
      <c r="E362" s="46"/>
      <c r="F362" s="44"/>
      <c r="G362" s="44"/>
      <c r="H362" s="45"/>
      <c r="I362" s="44"/>
      <c r="J362" s="44"/>
      <c r="K362" s="44"/>
      <c r="L362" s="44"/>
      <c r="M362" s="44"/>
      <c r="N362" s="45"/>
      <c r="O362" s="44"/>
      <c r="P362" s="44"/>
      <c r="Q362" s="44"/>
      <c r="R362" s="44"/>
      <c r="S362" s="45"/>
      <c r="T362" s="44"/>
      <c r="U362" s="31"/>
    </row>
    <row r="363" ht="15.75" customHeight="1">
      <c r="A363" s="41" t="s">
        <v>153</v>
      </c>
      <c r="B363" s="41">
        <f>SUM(F363:S363)/36</f>
        <v>4</v>
      </c>
      <c r="C363" s="42" t="s">
        <v>323</v>
      </c>
      <c r="D363" s="43" t="s">
        <v>324</v>
      </c>
      <c r="E363" s="41" t="s">
        <v>156</v>
      </c>
      <c r="F363" s="44">
        <v>28</v>
      </c>
      <c r="G363" s="44">
        <v>0</v>
      </c>
      <c r="H363" s="45">
        <v>2</v>
      </c>
      <c r="I363" s="44">
        <v>28</v>
      </c>
      <c r="J363" s="44">
        <v>0</v>
      </c>
      <c r="K363" s="44">
        <v>2</v>
      </c>
      <c r="L363" s="44">
        <v>0</v>
      </c>
      <c r="M363" s="44">
        <v>0</v>
      </c>
      <c r="N363" s="45">
        <v>4</v>
      </c>
      <c r="O363" s="44">
        <v>0</v>
      </c>
      <c r="P363" s="44">
        <v>0</v>
      </c>
      <c r="Q363" s="44">
        <v>49</v>
      </c>
      <c r="R363" s="44">
        <v>0</v>
      </c>
      <c r="S363" s="45">
        <v>31</v>
      </c>
      <c r="T363" s="44">
        <v>26</v>
      </c>
      <c r="U363" s="31"/>
    </row>
    <row r="364" ht="15.75" customHeight="1">
      <c r="A364" s="46"/>
      <c r="B364" s="46"/>
      <c r="C364" s="42"/>
      <c r="D364" s="43" t="s">
        <v>325</v>
      </c>
      <c r="E364" s="46"/>
      <c r="F364" s="44"/>
      <c r="G364" s="44"/>
      <c r="H364" s="45"/>
      <c r="I364" s="44"/>
      <c r="J364" s="44"/>
      <c r="K364" s="44"/>
      <c r="L364" s="44"/>
      <c r="M364" s="44"/>
      <c r="N364" s="45"/>
      <c r="O364" s="44"/>
      <c r="P364" s="44"/>
      <c r="Q364" s="44"/>
      <c r="R364" s="44"/>
      <c r="S364" s="45"/>
      <c r="T364" s="44"/>
      <c r="U364" s="31"/>
    </row>
    <row r="365" ht="17.25" customHeight="1">
      <c r="A365" s="60" t="s">
        <v>245</v>
      </c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50"/>
      <c r="U365" s="31"/>
    </row>
    <row r="366" ht="15.75" customHeight="1">
      <c r="A366" s="41" t="s">
        <v>153</v>
      </c>
      <c r="B366" s="41">
        <f>SUM(F366:S366)/36</f>
        <v>3</v>
      </c>
      <c r="C366" s="42" t="s">
        <v>154</v>
      </c>
      <c r="D366" s="43" t="s">
        <v>288</v>
      </c>
      <c r="E366" s="41" t="s">
        <v>169</v>
      </c>
      <c r="F366" s="44">
        <v>26</v>
      </c>
      <c r="G366" s="44">
        <v>0</v>
      </c>
      <c r="H366" s="45">
        <v>2</v>
      </c>
      <c r="I366" s="44">
        <v>26</v>
      </c>
      <c r="J366" s="44">
        <v>0</v>
      </c>
      <c r="K366" s="44">
        <v>2</v>
      </c>
      <c r="L366" s="44">
        <v>2</v>
      </c>
      <c r="M366" s="44">
        <v>0</v>
      </c>
      <c r="N366" s="45">
        <v>2</v>
      </c>
      <c r="O366" s="44">
        <v>0</v>
      </c>
      <c r="P366" s="44">
        <v>0</v>
      </c>
      <c r="Q366" s="44">
        <v>24</v>
      </c>
      <c r="R366" s="44">
        <v>0</v>
      </c>
      <c r="S366" s="45">
        <v>24</v>
      </c>
      <c r="T366" s="44">
        <v>26</v>
      </c>
      <c r="U366" s="31"/>
    </row>
    <row r="367" ht="15.75" customHeight="1">
      <c r="A367" s="46"/>
      <c r="B367" s="46"/>
      <c r="C367" s="42"/>
      <c r="D367" s="43" t="s">
        <v>289</v>
      </c>
      <c r="E367" s="46"/>
      <c r="F367" s="44"/>
      <c r="G367" s="44"/>
      <c r="H367" s="45"/>
      <c r="I367" s="44"/>
      <c r="J367" s="44"/>
      <c r="K367" s="44"/>
      <c r="L367" s="44"/>
      <c r="M367" s="44"/>
      <c r="N367" s="45"/>
      <c r="O367" s="44"/>
      <c r="P367" s="44"/>
      <c r="Q367" s="44"/>
      <c r="R367" s="44"/>
      <c r="S367" s="45"/>
      <c r="T367" s="44"/>
      <c r="U367" s="31"/>
    </row>
    <row r="368" ht="15.75" customHeight="1">
      <c r="A368" s="41" t="s">
        <v>153</v>
      </c>
      <c r="B368" s="41">
        <f>SUM(F368:S368)/36</f>
        <v>3</v>
      </c>
      <c r="C368" s="42" t="s">
        <v>326</v>
      </c>
      <c r="D368" s="43" t="s">
        <v>327</v>
      </c>
      <c r="E368" s="41" t="s">
        <v>169</v>
      </c>
      <c r="F368" s="44">
        <v>32</v>
      </c>
      <c r="G368" s="44">
        <v>0</v>
      </c>
      <c r="H368" s="45">
        <v>2</v>
      </c>
      <c r="I368" s="44">
        <v>0</v>
      </c>
      <c r="J368" s="44">
        <v>0</v>
      </c>
      <c r="K368" s="44">
        <v>0</v>
      </c>
      <c r="L368" s="44">
        <v>0</v>
      </c>
      <c r="M368" s="44">
        <v>0</v>
      </c>
      <c r="N368" s="45">
        <v>2</v>
      </c>
      <c r="O368" s="44">
        <v>0</v>
      </c>
      <c r="P368" s="44">
        <v>0</v>
      </c>
      <c r="Q368" s="44">
        <v>48</v>
      </c>
      <c r="R368" s="44">
        <v>0</v>
      </c>
      <c r="S368" s="45">
        <v>24</v>
      </c>
      <c r="T368" s="44">
        <v>2</v>
      </c>
      <c r="U368" s="31"/>
    </row>
    <row r="369" ht="15.75" customHeight="1">
      <c r="A369" s="46"/>
      <c r="B369" s="46"/>
      <c r="C369" s="42"/>
      <c r="D369" s="43" t="s">
        <v>328</v>
      </c>
      <c r="E369" s="46"/>
      <c r="F369" s="44"/>
      <c r="G369" s="44"/>
      <c r="H369" s="45"/>
      <c r="I369" s="44"/>
      <c r="J369" s="44"/>
      <c r="K369" s="44"/>
      <c r="L369" s="44"/>
      <c r="M369" s="44"/>
      <c r="N369" s="45"/>
      <c r="O369" s="44"/>
      <c r="P369" s="44"/>
      <c r="Q369" s="44"/>
      <c r="R369" s="44"/>
      <c r="S369" s="45"/>
      <c r="T369" s="44"/>
      <c r="U369" s="31"/>
    </row>
    <row r="370" ht="15.75" customHeight="1">
      <c r="A370" s="41" t="s">
        <v>153</v>
      </c>
      <c r="B370" s="41">
        <f>SUM(F370:S370)/36</f>
        <v>3</v>
      </c>
      <c r="C370" s="42" t="s">
        <v>292</v>
      </c>
      <c r="D370" s="43" t="s">
        <v>293</v>
      </c>
      <c r="E370" s="41" t="s">
        <v>160</v>
      </c>
      <c r="F370" s="44">
        <v>16</v>
      </c>
      <c r="G370" s="44">
        <v>0</v>
      </c>
      <c r="H370" s="45">
        <v>0</v>
      </c>
      <c r="I370" s="44">
        <v>46</v>
      </c>
      <c r="J370" s="44">
        <v>0</v>
      </c>
      <c r="K370" s="44">
        <v>0</v>
      </c>
      <c r="L370" s="44">
        <v>0</v>
      </c>
      <c r="M370" s="44">
        <v>0</v>
      </c>
      <c r="N370" s="45">
        <v>2</v>
      </c>
      <c r="O370" s="44">
        <v>0</v>
      </c>
      <c r="P370" s="44">
        <v>0</v>
      </c>
      <c r="Q370" s="44">
        <v>37</v>
      </c>
      <c r="R370" s="44">
        <v>0</v>
      </c>
      <c r="S370" s="45">
        <v>7</v>
      </c>
      <c r="T370" s="44">
        <v>46</v>
      </c>
      <c r="U370" s="31"/>
    </row>
    <row r="371" ht="15.75" customHeight="1">
      <c r="A371" s="46"/>
      <c r="B371" s="46"/>
      <c r="C371" s="42"/>
      <c r="D371" s="43" t="s">
        <v>294</v>
      </c>
      <c r="E371" s="46"/>
      <c r="F371" s="44"/>
      <c r="G371" s="44"/>
      <c r="H371" s="45"/>
      <c r="I371" s="44"/>
      <c r="J371" s="44"/>
      <c r="K371" s="44"/>
      <c r="L371" s="44"/>
      <c r="M371" s="44"/>
      <c r="N371" s="45"/>
      <c r="O371" s="44"/>
      <c r="P371" s="44"/>
      <c r="Q371" s="44"/>
      <c r="R371" s="44"/>
      <c r="S371" s="45"/>
      <c r="T371" s="44"/>
      <c r="U371" s="31"/>
    </row>
    <row r="372" ht="15.75" customHeight="1">
      <c r="A372" s="41" t="s">
        <v>153</v>
      </c>
      <c r="B372" s="41">
        <f>SUM(F372:S372)/36</f>
        <v>4</v>
      </c>
      <c r="C372" s="42" t="s">
        <v>295</v>
      </c>
      <c r="D372" s="43" t="s">
        <v>296</v>
      </c>
      <c r="E372" s="41" t="s">
        <v>169</v>
      </c>
      <c r="F372" s="44">
        <v>28</v>
      </c>
      <c r="G372" s="44">
        <v>0</v>
      </c>
      <c r="H372" s="45">
        <v>2</v>
      </c>
      <c r="I372" s="44">
        <v>24</v>
      </c>
      <c r="J372" s="44">
        <v>0</v>
      </c>
      <c r="K372" s="44">
        <v>4</v>
      </c>
      <c r="L372" s="44">
        <v>0</v>
      </c>
      <c r="M372" s="44">
        <v>0</v>
      </c>
      <c r="N372" s="45">
        <v>2</v>
      </c>
      <c r="O372" s="44">
        <v>4</v>
      </c>
      <c r="P372" s="44">
        <v>2</v>
      </c>
      <c r="Q372" s="44">
        <v>54</v>
      </c>
      <c r="R372" s="44">
        <v>0</v>
      </c>
      <c r="S372" s="45">
        <v>24</v>
      </c>
      <c r="T372" s="44">
        <v>24</v>
      </c>
      <c r="U372" s="31"/>
    </row>
    <row r="373" ht="15.75" customHeight="1">
      <c r="A373" s="46"/>
      <c r="B373" s="46"/>
      <c r="C373" s="42"/>
      <c r="D373" s="43" t="s">
        <v>297</v>
      </c>
      <c r="E373" s="46"/>
      <c r="F373" s="44"/>
      <c r="G373" s="44"/>
      <c r="H373" s="45"/>
      <c r="I373" s="44"/>
      <c r="J373" s="44"/>
      <c r="K373" s="44"/>
      <c r="L373" s="44"/>
      <c r="M373" s="44"/>
      <c r="N373" s="45"/>
      <c r="O373" s="44"/>
      <c r="P373" s="44"/>
      <c r="Q373" s="44"/>
      <c r="R373" s="44"/>
      <c r="S373" s="45"/>
      <c r="T373" s="44"/>
      <c r="U373" s="31"/>
    </row>
    <row r="374" ht="17.25" customHeight="1">
      <c r="A374" s="60" t="s">
        <v>247</v>
      </c>
      <c r="B374" s="49"/>
      <c r="C374" s="49"/>
      <c r="D374" s="49"/>
      <c r="E374" s="49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4"/>
      <c r="U374" s="31"/>
    </row>
    <row r="375" ht="15.75" customHeight="1">
      <c r="A375" s="41" t="s">
        <v>153</v>
      </c>
      <c r="B375" s="41">
        <f>SUM(F375:S375)/36</f>
        <v>3</v>
      </c>
      <c r="C375" s="42" t="s">
        <v>329</v>
      </c>
      <c r="D375" s="43" t="s">
        <v>330</v>
      </c>
      <c r="E375" s="52" t="s">
        <v>169</v>
      </c>
      <c r="F375" s="61">
        <v>18</v>
      </c>
      <c r="G375" s="61">
        <v>14</v>
      </c>
      <c r="H375" s="45">
        <v>2</v>
      </c>
      <c r="I375" s="61">
        <v>24</v>
      </c>
      <c r="J375" s="61">
        <v>0</v>
      </c>
      <c r="K375" s="61">
        <v>0</v>
      </c>
      <c r="L375" s="61">
        <v>0</v>
      </c>
      <c r="M375" s="61">
        <v>0</v>
      </c>
      <c r="N375" s="45">
        <v>2</v>
      </c>
      <c r="O375" s="61">
        <v>0</v>
      </c>
      <c r="P375" s="61">
        <v>0</v>
      </c>
      <c r="Q375" s="61">
        <v>24</v>
      </c>
      <c r="R375" s="61">
        <v>0</v>
      </c>
      <c r="S375" s="45">
        <v>24</v>
      </c>
      <c r="T375" s="61">
        <v>40</v>
      </c>
      <c r="U375" s="31"/>
    </row>
    <row r="376" ht="15.75" customHeight="1">
      <c r="A376" s="46"/>
      <c r="B376" s="46"/>
      <c r="C376" s="42"/>
      <c r="D376" s="43" t="s">
        <v>331</v>
      </c>
      <c r="E376" s="46"/>
      <c r="F376" s="62"/>
      <c r="G376" s="62"/>
      <c r="H376" s="63"/>
      <c r="I376" s="62"/>
      <c r="J376" s="62"/>
      <c r="K376" s="62"/>
      <c r="L376" s="62"/>
      <c r="M376" s="62"/>
      <c r="N376" s="63"/>
      <c r="O376" s="62"/>
      <c r="P376" s="62"/>
      <c r="Q376" s="62"/>
      <c r="R376" s="62"/>
      <c r="S376" s="63"/>
      <c r="T376" s="62"/>
      <c r="U376" s="31"/>
    </row>
    <row r="377" ht="15.75" customHeight="1">
      <c r="A377" s="41" t="s">
        <v>153</v>
      </c>
      <c r="B377" s="41">
        <f>SUM(F377:S377)/36</f>
        <v>4</v>
      </c>
      <c r="C377" s="42" t="s">
        <v>332</v>
      </c>
      <c r="D377" s="43" t="s">
        <v>333</v>
      </c>
      <c r="E377" s="41" t="s">
        <v>169</v>
      </c>
      <c r="F377" s="44">
        <v>30</v>
      </c>
      <c r="G377" s="44">
        <v>0</v>
      </c>
      <c r="H377" s="45">
        <v>2</v>
      </c>
      <c r="I377" s="44">
        <v>30</v>
      </c>
      <c r="J377" s="44">
        <v>0</v>
      </c>
      <c r="K377" s="44">
        <v>0</v>
      </c>
      <c r="L377" s="44">
        <v>0</v>
      </c>
      <c r="M377" s="44">
        <v>0</v>
      </c>
      <c r="N377" s="45">
        <v>2</v>
      </c>
      <c r="O377" s="44">
        <v>0</v>
      </c>
      <c r="P377" s="44">
        <v>0</v>
      </c>
      <c r="Q377" s="44">
        <v>56</v>
      </c>
      <c r="R377" s="44">
        <v>0</v>
      </c>
      <c r="S377" s="45">
        <v>24</v>
      </c>
      <c r="T377" s="44">
        <v>32</v>
      </c>
      <c r="U377" s="31"/>
    </row>
    <row r="378" ht="15.75" customHeight="1">
      <c r="A378" s="46"/>
      <c r="B378" s="46"/>
      <c r="C378" s="42"/>
      <c r="D378" s="43" t="s">
        <v>334</v>
      </c>
      <c r="E378" s="46"/>
      <c r="F378" s="44"/>
      <c r="G378" s="44"/>
      <c r="H378" s="45"/>
      <c r="I378" s="44"/>
      <c r="J378" s="44"/>
      <c r="K378" s="44"/>
      <c r="L378" s="44"/>
      <c r="M378" s="44"/>
      <c r="N378" s="45"/>
      <c r="O378" s="44"/>
      <c r="P378" s="44"/>
      <c r="Q378" s="44"/>
      <c r="R378" s="44"/>
      <c r="S378" s="45"/>
      <c r="T378" s="44"/>
      <c r="U378" s="31"/>
    </row>
    <row r="379" ht="15.75" customHeight="1">
      <c r="A379" s="41" t="s">
        <v>248</v>
      </c>
      <c r="B379" s="41">
        <f>SUM(F379:S379)/36</f>
        <v>6</v>
      </c>
      <c r="C379" s="42" t="s">
        <v>249</v>
      </c>
      <c r="D379" s="43" t="s">
        <v>250</v>
      </c>
      <c r="E379" s="41" t="s">
        <v>251</v>
      </c>
      <c r="F379" s="44">
        <v>2</v>
      </c>
      <c r="G379" s="44">
        <v>14</v>
      </c>
      <c r="H379" s="45">
        <v>0</v>
      </c>
      <c r="I379" s="44">
        <v>0</v>
      </c>
      <c r="J379" s="44">
        <v>0</v>
      </c>
      <c r="K379" s="44">
        <v>0</v>
      </c>
      <c r="L379" s="44">
        <v>0</v>
      </c>
      <c r="M379" s="44">
        <v>0</v>
      </c>
      <c r="N379" s="45">
        <v>4</v>
      </c>
      <c r="O379" s="44">
        <v>32</v>
      </c>
      <c r="P379" s="44">
        <v>50</v>
      </c>
      <c r="Q379" s="44">
        <v>110</v>
      </c>
      <c r="R379" s="44">
        <v>0</v>
      </c>
      <c r="S379" s="45">
        <v>4</v>
      </c>
      <c r="T379" s="44">
        <v>0</v>
      </c>
      <c r="U379" s="31"/>
    </row>
    <row r="380" ht="15.75" customHeight="1">
      <c r="A380" s="46"/>
      <c r="B380" s="46"/>
      <c r="C380" s="42"/>
      <c r="D380" s="43" t="s">
        <v>252</v>
      </c>
      <c r="E380" s="46"/>
      <c r="F380" s="44"/>
      <c r="G380" s="44"/>
      <c r="H380" s="45"/>
      <c r="I380" s="44"/>
      <c r="J380" s="44"/>
      <c r="K380" s="44"/>
      <c r="L380" s="44"/>
      <c r="M380" s="44"/>
      <c r="N380" s="45"/>
      <c r="O380" s="44"/>
      <c r="P380" s="44"/>
      <c r="Q380" s="44"/>
      <c r="R380" s="44"/>
      <c r="S380" s="45"/>
      <c r="T380" s="44"/>
      <c r="U380" s="31"/>
    </row>
    <row r="381" ht="17.25" customHeight="1">
      <c r="A381" s="40" t="s">
        <v>186</v>
      </c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6"/>
      <c r="U381" s="31"/>
    </row>
    <row r="382" ht="17.25" customHeight="1">
      <c r="A382" s="48" t="s">
        <v>187</v>
      </c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50"/>
      <c r="U382" s="31"/>
    </row>
    <row r="383" ht="17.25" customHeight="1">
      <c r="A383" s="51" t="s">
        <v>188</v>
      </c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50"/>
      <c r="U383" s="31"/>
    </row>
    <row r="384" ht="15.75" customHeight="1">
      <c r="A384" s="41" t="s">
        <v>153</v>
      </c>
      <c r="B384" s="41">
        <v>3</v>
      </c>
      <c r="C384" s="42" t="s">
        <v>36</v>
      </c>
      <c r="D384" s="43" t="s">
        <v>189</v>
      </c>
      <c r="E384" s="41" t="s">
        <v>160</v>
      </c>
      <c r="F384" s="44">
        <v>0</v>
      </c>
      <c r="G384" s="44">
        <v>0</v>
      </c>
      <c r="H384" s="45">
        <v>0</v>
      </c>
      <c r="I384" s="44">
        <v>58</v>
      </c>
      <c r="J384" s="44">
        <v>0</v>
      </c>
      <c r="K384" s="44">
        <v>0</v>
      </c>
      <c r="L384" s="44">
        <v>0</v>
      </c>
      <c r="M384" s="44">
        <v>0</v>
      </c>
      <c r="N384" s="45">
        <v>10</v>
      </c>
      <c r="O384" s="44">
        <v>10</v>
      </c>
      <c r="P384" s="44">
        <v>30</v>
      </c>
      <c r="Q384" s="44">
        <v>0</v>
      </c>
      <c r="R384" s="44">
        <v>0</v>
      </c>
      <c r="S384" s="45">
        <v>0</v>
      </c>
      <c r="T384" s="44">
        <v>108</v>
      </c>
      <c r="U384" s="31"/>
    </row>
    <row r="385" ht="15.75" customHeight="1">
      <c r="A385" s="46"/>
      <c r="B385" s="46"/>
      <c r="C385" s="42"/>
      <c r="D385" s="43" t="s">
        <v>190</v>
      </c>
      <c r="E385" s="46"/>
      <c r="F385" s="44"/>
      <c r="G385" s="44"/>
      <c r="H385" s="45"/>
      <c r="I385" s="44"/>
      <c r="J385" s="44"/>
      <c r="K385" s="44"/>
      <c r="L385" s="44"/>
      <c r="M385" s="44"/>
      <c r="N385" s="45"/>
      <c r="O385" s="44"/>
      <c r="P385" s="44"/>
      <c r="Q385" s="44"/>
      <c r="R385" s="44"/>
      <c r="S385" s="45"/>
      <c r="T385" s="44"/>
      <c r="U385" s="31"/>
    </row>
    <row r="386" ht="17.25" customHeight="1">
      <c r="A386" s="51" t="s">
        <v>191</v>
      </c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50"/>
      <c r="U386" s="31"/>
    </row>
    <row r="387" ht="15.75" customHeight="1">
      <c r="A387" s="41" t="s">
        <v>153</v>
      </c>
      <c r="B387" s="41">
        <v>3</v>
      </c>
      <c r="C387" s="42" t="s">
        <v>36</v>
      </c>
      <c r="D387" s="43" t="s">
        <v>192</v>
      </c>
      <c r="E387" s="41" t="s">
        <v>160</v>
      </c>
      <c r="F387" s="44">
        <v>0</v>
      </c>
      <c r="G387" s="44">
        <v>0</v>
      </c>
      <c r="H387" s="45">
        <v>0</v>
      </c>
      <c r="I387" s="44">
        <v>50</v>
      </c>
      <c r="J387" s="44">
        <v>0</v>
      </c>
      <c r="K387" s="44">
        <v>0</v>
      </c>
      <c r="L387" s="44">
        <v>0</v>
      </c>
      <c r="M387" s="44">
        <v>0</v>
      </c>
      <c r="N387" s="45">
        <v>10</v>
      </c>
      <c r="O387" s="44">
        <v>48</v>
      </c>
      <c r="P387" s="44">
        <v>0</v>
      </c>
      <c r="Q387" s="44">
        <v>0</v>
      </c>
      <c r="R387" s="44">
        <v>0</v>
      </c>
      <c r="S387" s="45">
        <v>0</v>
      </c>
      <c r="T387" s="44">
        <v>108</v>
      </c>
      <c r="U387" s="31"/>
    </row>
    <row r="388" ht="15.75" customHeight="1">
      <c r="A388" s="46"/>
      <c r="B388" s="46"/>
      <c r="C388" s="42"/>
      <c r="D388" s="43" t="s">
        <v>190</v>
      </c>
      <c r="E388" s="46"/>
      <c r="F388" s="44"/>
      <c r="G388" s="44"/>
      <c r="H388" s="45"/>
      <c r="I388" s="44"/>
      <c r="J388" s="44"/>
      <c r="K388" s="44"/>
      <c r="L388" s="44"/>
      <c r="M388" s="44"/>
      <c r="N388" s="45"/>
      <c r="O388" s="44"/>
      <c r="P388" s="44"/>
      <c r="Q388" s="44"/>
      <c r="R388" s="44"/>
      <c r="S388" s="45"/>
      <c r="T388" s="44"/>
      <c r="U388" s="31"/>
    </row>
    <row r="389" ht="17.25" customHeight="1">
      <c r="A389" s="51" t="s">
        <v>193</v>
      </c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50"/>
      <c r="U389" s="31"/>
    </row>
    <row r="390" ht="15.75" customHeight="1">
      <c r="A390" s="41" t="s">
        <v>153</v>
      </c>
      <c r="B390" s="41">
        <v>3</v>
      </c>
      <c r="C390" s="42" t="s">
        <v>36</v>
      </c>
      <c r="D390" s="43" t="s">
        <v>194</v>
      </c>
      <c r="E390" s="41" t="s">
        <v>160</v>
      </c>
      <c r="F390" s="44">
        <v>0</v>
      </c>
      <c r="G390" s="44">
        <v>0</v>
      </c>
      <c r="H390" s="45">
        <v>0</v>
      </c>
      <c r="I390" s="44">
        <v>50</v>
      </c>
      <c r="J390" s="44">
        <v>0</v>
      </c>
      <c r="K390" s="44">
        <v>0</v>
      </c>
      <c r="L390" s="44">
        <v>0</v>
      </c>
      <c r="M390" s="44">
        <v>0</v>
      </c>
      <c r="N390" s="45">
        <v>10</v>
      </c>
      <c r="O390" s="44">
        <v>48</v>
      </c>
      <c r="P390" s="44">
        <v>0</v>
      </c>
      <c r="Q390" s="44">
        <v>0</v>
      </c>
      <c r="R390" s="44">
        <v>0</v>
      </c>
      <c r="S390" s="45">
        <v>0</v>
      </c>
      <c r="T390" s="44">
        <v>108</v>
      </c>
      <c r="U390" s="31"/>
    </row>
    <row r="391" ht="15.75" customHeight="1">
      <c r="A391" s="46"/>
      <c r="B391" s="46"/>
      <c r="C391" s="42"/>
      <c r="D391" s="43" t="s">
        <v>190</v>
      </c>
      <c r="E391" s="46"/>
      <c r="F391" s="44"/>
      <c r="G391" s="44"/>
      <c r="H391" s="45"/>
      <c r="I391" s="44"/>
      <c r="J391" s="44"/>
      <c r="K391" s="44"/>
      <c r="L391" s="44"/>
      <c r="M391" s="44"/>
      <c r="N391" s="45"/>
      <c r="O391" s="44"/>
      <c r="P391" s="44"/>
      <c r="Q391" s="44"/>
      <c r="R391" s="44"/>
      <c r="S391" s="45"/>
      <c r="T391" s="44"/>
      <c r="U391" s="31"/>
    </row>
    <row r="392" ht="17.25" customHeight="1">
      <c r="A392" s="51" t="s">
        <v>195</v>
      </c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50"/>
      <c r="U392" s="31"/>
    </row>
    <row r="393" ht="15.75" customHeight="1">
      <c r="A393" s="41" t="s">
        <v>153</v>
      </c>
      <c r="B393" s="41">
        <v>3</v>
      </c>
      <c r="C393" s="42" t="s">
        <v>36</v>
      </c>
      <c r="D393" s="43" t="s">
        <v>196</v>
      </c>
      <c r="E393" s="41" t="s">
        <v>160</v>
      </c>
      <c r="F393" s="44">
        <v>0</v>
      </c>
      <c r="G393" s="44">
        <v>0</v>
      </c>
      <c r="H393" s="45">
        <v>0</v>
      </c>
      <c r="I393" s="44">
        <v>28</v>
      </c>
      <c r="J393" s="44">
        <v>0</v>
      </c>
      <c r="K393" s="44">
        <v>0</v>
      </c>
      <c r="L393" s="44">
        <v>0</v>
      </c>
      <c r="M393" s="44">
        <v>0</v>
      </c>
      <c r="N393" s="45">
        <v>10</v>
      </c>
      <c r="O393" s="44">
        <v>70</v>
      </c>
      <c r="P393" s="44">
        <v>0</v>
      </c>
      <c r="Q393" s="44">
        <v>0</v>
      </c>
      <c r="R393" s="44">
        <v>0</v>
      </c>
      <c r="S393" s="45">
        <v>0</v>
      </c>
      <c r="T393" s="44">
        <v>108</v>
      </c>
      <c r="U393" s="31"/>
    </row>
    <row r="394" ht="15.75" customHeight="1">
      <c r="A394" s="46"/>
      <c r="B394" s="46"/>
      <c r="C394" s="42"/>
      <c r="D394" s="43" t="s">
        <v>190</v>
      </c>
      <c r="E394" s="46"/>
      <c r="F394" s="44"/>
      <c r="G394" s="44"/>
      <c r="H394" s="45"/>
      <c r="I394" s="44"/>
      <c r="J394" s="44"/>
      <c r="K394" s="44"/>
      <c r="L394" s="44"/>
      <c r="M394" s="44"/>
      <c r="N394" s="45"/>
      <c r="O394" s="44"/>
      <c r="P394" s="44"/>
      <c r="Q394" s="44"/>
      <c r="R394" s="44"/>
      <c r="S394" s="45"/>
      <c r="T394" s="44"/>
      <c r="U394" s="31"/>
    </row>
    <row r="395" ht="17.25" customHeight="1">
      <c r="A395" s="51" t="s">
        <v>197</v>
      </c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50"/>
      <c r="U395" s="31"/>
    </row>
    <row r="396" ht="15.75" customHeight="1">
      <c r="A396" s="41" t="s">
        <v>153</v>
      </c>
      <c r="B396" s="41">
        <v>3</v>
      </c>
      <c r="C396" s="42" t="s">
        <v>36</v>
      </c>
      <c r="D396" s="43" t="s">
        <v>198</v>
      </c>
      <c r="E396" s="41" t="s">
        <v>169</v>
      </c>
      <c r="F396" s="44">
        <v>0</v>
      </c>
      <c r="G396" s="44">
        <v>0</v>
      </c>
      <c r="H396" s="45">
        <v>2</v>
      </c>
      <c r="I396" s="44">
        <v>56</v>
      </c>
      <c r="J396" s="44">
        <v>0</v>
      </c>
      <c r="K396" s="44">
        <v>0</v>
      </c>
      <c r="L396" s="44">
        <v>0</v>
      </c>
      <c r="M396" s="44">
        <v>0</v>
      </c>
      <c r="N396" s="45">
        <v>10</v>
      </c>
      <c r="O396" s="44">
        <v>10</v>
      </c>
      <c r="P396" s="44">
        <v>30</v>
      </c>
      <c r="Q396" s="44">
        <v>0</v>
      </c>
      <c r="R396" s="44">
        <v>0</v>
      </c>
      <c r="S396" s="45">
        <v>0</v>
      </c>
      <c r="T396" s="44">
        <v>108</v>
      </c>
      <c r="U396" s="31"/>
    </row>
    <row r="397" ht="15.75" customHeight="1">
      <c r="A397" s="46"/>
      <c r="B397" s="46"/>
      <c r="C397" s="42"/>
      <c r="D397" s="43" t="s">
        <v>199</v>
      </c>
      <c r="E397" s="46"/>
      <c r="F397" s="44"/>
      <c r="G397" s="44"/>
      <c r="H397" s="45"/>
      <c r="I397" s="44"/>
      <c r="J397" s="44"/>
      <c r="K397" s="44"/>
      <c r="L397" s="44"/>
      <c r="M397" s="44"/>
      <c r="N397" s="45"/>
      <c r="O397" s="44"/>
      <c r="P397" s="44"/>
      <c r="Q397" s="44"/>
      <c r="R397" s="44"/>
      <c r="S397" s="45"/>
      <c r="T397" s="44"/>
      <c r="U397" s="31"/>
    </row>
    <row r="398" ht="17.25" customHeight="1">
      <c r="A398" s="51" t="s">
        <v>200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50"/>
      <c r="U398" s="31"/>
    </row>
    <row r="399" ht="15.75" customHeight="1">
      <c r="A399" s="41" t="s">
        <v>153</v>
      </c>
      <c r="B399" s="41">
        <v>3</v>
      </c>
      <c r="C399" s="42" t="s">
        <v>36</v>
      </c>
      <c r="D399" s="43" t="s">
        <v>201</v>
      </c>
      <c r="E399" s="41" t="s">
        <v>169</v>
      </c>
      <c r="F399" s="44">
        <v>0</v>
      </c>
      <c r="G399" s="44">
        <v>0</v>
      </c>
      <c r="H399" s="45">
        <v>2</v>
      </c>
      <c r="I399" s="44">
        <v>50</v>
      </c>
      <c r="J399" s="44">
        <v>0</v>
      </c>
      <c r="K399" s="44">
        <v>0</v>
      </c>
      <c r="L399" s="44">
        <v>0</v>
      </c>
      <c r="M399" s="44">
        <v>0</v>
      </c>
      <c r="N399" s="45">
        <v>10</v>
      </c>
      <c r="O399" s="44">
        <v>46</v>
      </c>
      <c r="P399" s="44">
        <v>0</v>
      </c>
      <c r="Q399" s="44">
        <v>0</v>
      </c>
      <c r="R399" s="44">
        <v>0</v>
      </c>
      <c r="S399" s="45">
        <v>0</v>
      </c>
      <c r="T399" s="44">
        <v>108</v>
      </c>
      <c r="U399" s="31"/>
    </row>
    <row r="400" ht="15.75" customHeight="1">
      <c r="A400" s="46"/>
      <c r="B400" s="46"/>
      <c r="C400" s="42"/>
      <c r="D400" s="43" t="s">
        <v>199</v>
      </c>
      <c r="E400" s="46"/>
      <c r="F400" s="44"/>
      <c r="G400" s="44"/>
      <c r="H400" s="45"/>
      <c r="I400" s="44"/>
      <c r="J400" s="44"/>
      <c r="K400" s="44"/>
      <c r="L400" s="44"/>
      <c r="M400" s="44"/>
      <c r="N400" s="45"/>
      <c r="O400" s="44"/>
      <c r="P400" s="44"/>
      <c r="Q400" s="44"/>
      <c r="R400" s="44"/>
      <c r="S400" s="45"/>
      <c r="T400" s="44"/>
      <c r="U400" s="31"/>
    </row>
    <row r="401" ht="17.25" customHeight="1">
      <c r="A401" s="40" t="s">
        <v>202</v>
      </c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6"/>
      <c r="U401" s="31"/>
    </row>
    <row r="402" ht="17.25" customHeight="1">
      <c r="A402" s="48" t="s">
        <v>203</v>
      </c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50"/>
      <c r="U402" s="31"/>
    </row>
    <row r="403" ht="17.25" customHeight="1">
      <c r="A403" s="48" t="s">
        <v>204</v>
      </c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50"/>
      <c r="U403" s="31"/>
    </row>
    <row r="404" ht="15.75" customHeight="1">
      <c r="A404" s="41" t="s">
        <v>153</v>
      </c>
      <c r="B404" s="44" t="s">
        <v>205</v>
      </c>
      <c r="C404" s="42" t="s">
        <v>36</v>
      </c>
      <c r="D404" s="43" t="s">
        <v>206</v>
      </c>
      <c r="E404" s="44" t="s">
        <v>207</v>
      </c>
      <c r="F404" s="52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4"/>
      <c r="U404" s="31"/>
    </row>
    <row r="405" ht="15.75" customHeight="1">
      <c r="A405" s="47"/>
      <c r="B405" s="44" t="s">
        <v>208</v>
      </c>
      <c r="C405" s="42"/>
      <c r="D405" s="43" t="s">
        <v>335</v>
      </c>
      <c r="E405" s="44" t="s">
        <v>210</v>
      </c>
      <c r="F405" s="5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56"/>
      <c r="U405" s="31"/>
    </row>
    <row r="406" ht="15.75" customHeight="1">
      <c r="A406" s="47"/>
      <c r="B406" s="44"/>
      <c r="C406" s="42"/>
      <c r="D406" s="43" t="s">
        <v>336</v>
      </c>
      <c r="E406" s="44"/>
      <c r="F406" s="57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9"/>
      <c r="U406" s="31"/>
    </row>
    <row r="407" ht="15.75" customHeight="1">
      <c r="A407" s="47"/>
      <c r="B407" s="44"/>
      <c r="C407" s="42"/>
      <c r="D407" s="43" t="s">
        <v>212</v>
      </c>
      <c r="E407" s="44" t="s">
        <v>213</v>
      </c>
      <c r="F407" s="52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4"/>
      <c r="U407" s="31"/>
    </row>
    <row r="408" ht="15.75" customHeight="1">
      <c r="A408" s="46"/>
      <c r="B408" s="44"/>
      <c r="C408" s="42"/>
      <c r="D408" s="43"/>
      <c r="E408" s="44" t="s">
        <v>214</v>
      </c>
      <c r="F408" s="57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9"/>
      <c r="U408" s="31"/>
    </row>
    <row r="409" ht="15.75" customHeight="1">
      <c r="A409" s="41"/>
      <c r="B409" s="41">
        <v>2</v>
      </c>
      <c r="C409" s="42" t="s">
        <v>36</v>
      </c>
      <c r="D409" s="43" t="s">
        <v>337</v>
      </c>
      <c r="E409" s="41" t="s">
        <v>160</v>
      </c>
      <c r="F409" s="44">
        <v>0</v>
      </c>
      <c r="G409" s="44">
        <v>0</v>
      </c>
      <c r="H409" s="45">
        <v>0</v>
      </c>
      <c r="I409" s="44">
        <v>0</v>
      </c>
      <c r="J409" s="44">
        <v>0</v>
      </c>
      <c r="K409" s="44">
        <v>0</v>
      </c>
      <c r="L409" s="44">
        <v>0</v>
      </c>
      <c r="M409" s="44">
        <v>0</v>
      </c>
      <c r="N409" s="45">
        <v>2</v>
      </c>
      <c r="O409" s="44">
        <v>0</v>
      </c>
      <c r="P409" s="44">
        <v>0</v>
      </c>
      <c r="Q409" s="44">
        <v>70</v>
      </c>
      <c r="R409" s="44">
        <v>0</v>
      </c>
      <c r="S409" s="45">
        <v>0</v>
      </c>
      <c r="T409" s="44">
        <v>0</v>
      </c>
      <c r="U409" s="31"/>
    </row>
    <row r="410" ht="15.75" customHeight="1">
      <c r="A410" s="47"/>
      <c r="B410" s="46"/>
      <c r="C410" s="42"/>
      <c r="D410" s="43" t="s">
        <v>216</v>
      </c>
      <c r="E410" s="46"/>
      <c r="F410" s="44"/>
      <c r="G410" s="44"/>
      <c r="H410" s="45"/>
      <c r="I410" s="44"/>
      <c r="J410" s="44"/>
      <c r="K410" s="44"/>
      <c r="L410" s="44"/>
      <c r="M410" s="44"/>
      <c r="N410" s="45"/>
      <c r="O410" s="44"/>
      <c r="P410" s="44"/>
      <c r="Q410" s="44"/>
      <c r="R410" s="44"/>
      <c r="S410" s="45"/>
      <c r="T410" s="44"/>
      <c r="U410" s="31"/>
    </row>
    <row r="411" ht="15.75" customHeight="1">
      <c r="A411" s="47"/>
      <c r="B411" s="41">
        <v>2</v>
      </c>
      <c r="C411" s="42" t="s">
        <v>36</v>
      </c>
      <c r="D411" s="43" t="s">
        <v>338</v>
      </c>
      <c r="E411" s="41" t="s">
        <v>160</v>
      </c>
      <c r="F411" s="44">
        <v>0</v>
      </c>
      <c r="G411" s="44">
        <v>0</v>
      </c>
      <c r="H411" s="45">
        <v>0</v>
      </c>
      <c r="I411" s="44">
        <v>0</v>
      </c>
      <c r="J411" s="44">
        <v>0</v>
      </c>
      <c r="K411" s="44">
        <v>0</v>
      </c>
      <c r="L411" s="44">
        <v>0</v>
      </c>
      <c r="M411" s="44">
        <v>0</v>
      </c>
      <c r="N411" s="45">
        <v>2</v>
      </c>
      <c r="O411" s="44">
        <v>0</v>
      </c>
      <c r="P411" s="44">
        <v>0</v>
      </c>
      <c r="Q411" s="44">
        <v>70</v>
      </c>
      <c r="R411" s="44">
        <v>0</v>
      </c>
      <c r="S411" s="45">
        <v>0</v>
      </c>
      <c r="T411" s="44">
        <v>0</v>
      </c>
      <c r="U411" s="31"/>
    </row>
    <row r="412" ht="15.75" customHeight="1">
      <c r="A412" s="47"/>
      <c r="B412" s="46"/>
      <c r="C412" s="42"/>
      <c r="D412" s="43" t="s">
        <v>218</v>
      </c>
      <c r="E412" s="46"/>
      <c r="F412" s="44"/>
      <c r="G412" s="44"/>
      <c r="H412" s="45"/>
      <c r="I412" s="44"/>
      <c r="J412" s="44"/>
      <c r="K412" s="44"/>
      <c r="L412" s="44"/>
      <c r="M412" s="44"/>
      <c r="N412" s="45"/>
      <c r="O412" s="44"/>
      <c r="P412" s="44"/>
      <c r="Q412" s="44"/>
      <c r="R412" s="44"/>
      <c r="S412" s="45"/>
      <c r="T412" s="44"/>
      <c r="U412" s="31"/>
    </row>
    <row r="413" ht="15.75" customHeight="1">
      <c r="A413" s="47"/>
      <c r="B413" s="41">
        <v>1</v>
      </c>
      <c r="C413" s="42" t="s">
        <v>36</v>
      </c>
      <c r="D413" s="43" t="s">
        <v>339</v>
      </c>
      <c r="E413" s="41" t="s">
        <v>160</v>
      </c>
      <c r="F413" s="44">
        <v>0</v>
      </c>
      <c r="G413" s="44">
        <v>0</v>
      </c>
      <c r="H413" s="45">
        <v>0</v>
      </c>
      <c r="I413" s="44">
        <v>0</v>
      </c>
      <c r="J413" s="44">
        <v>0</v>
      </c>
      <c r="K413" s="44">
        <v>0</v>
      </c>
      <c r="L413" s="44">
        <v>0</v>
      </c>
      <c r="M413" s="44">
        <v>0</v>
      </c>
      <c r="N413" s="45">
        <v>2</v>
      </c>
      <c r="O413" s="44">
        <v>0</v>
      </c>
      <c r="P413" s="44">
        <v>0</v>
      </c>
      <c r="Q413" s="44">
        <v>34</v>
      </c>
      <c r="R413" s="44">
        <v>0</v>
      </c>
      <c r="S413" s="45">
        <v>0</v>
      </c>
      <c r="T413" s="44">
        <v>0</v>
      </c>
      <c r="U413" s="31"/>
    </row>
    <row r="414" ht="15.75" customHeight="1">
      <c r="A414" s="47"/>
      <c r="B414" s="46"/>
      <c r="C414" s="42"/>
      <c r="D414" s="43" t="s">
        <v>220</v>
      </c>
      <c r="E414" s="46"/>
      <c r="F414" s="44"/>
      <c r="G414" s="44"/>
      <c r="H414" s="45"/>
      <c r="I414" s="44"/>
      <c r="J414" s="44"/>
      <c r="K414" s="44"/>
      <c r="L414" s="44"/>
      <c r="M414" s="44"/>
      <c r="N414" s="45"/>
      <c r="O414" s="44"/>
      <c r="P414" s="44"/>
      <c r="Q414" s="44"/>
      <c r="R414" s="44"/>
      <c r="S414" s="45"/>
      <c r="T414" s="44"/>
      <c r="U414" s="31"/>
    </row>
    <row r="415" ht="15.75" customHeight="1">
      <c r="A415" s="47"/>
      <c r="B415" s="41">
        <v>1</v>
      </c>
      <c r="C415" s="42" t="s">
        <v>36</v>
      </c>
      <c r="D415" s="43" t="s">
        <v>340</v>
      </c>
      <c r="E415" s="41" t="s">
        <v>160</v>
      </c>
      <c r="F415" s="44">
        <v>0</v>
      </c>
      <c r="G415" s="44">
        <v>0</v>
      </c>
      <c r="H415" s="45">
        <v>0</v>
      </c>
      <c r="I415" s="44">
        <v>0</v>
      </c>
      <c r="J415" s="44">
        <v>0</v>
      </c>
      <c r="K415" s="44">
        <v>0</v>
      </c>
      <c r="L415" s="44">
        <v>0</v>
      </c>
      <c r="M415" s="44">
        <v>0</v>
      </c>
      <c r="N415" s="45">
        <v>2</v>
      </c>
      <c r="O415" s="44">
        <v>0</v>
      </c>
      <c r="P415" s="44">
        <v>0</v>
      </c>
      <c r="Q415" s="44">
        <v>34</v>
      </c>
      <c r="R415" s="44">
        <v>0</v>
      </c>
      <c r="S415" s="45">
        <v>0</v>
      </c>
      <c r="T415" s="44">
        <v>0</v>
      </c>
      <c r="U415" s="31"/>
    </row>
    <row r="416" ht="15.75" customHeight="1">
      <c r="A416" s="47"/>
      <c r="B416" s="46"/>
      <c r="C416" s="42"/>
      <c r="D416" s="43" t="s">
        <v>222</v>
      </c>
      <c r="E416" s="46"/>
      <c r="F416" s="44"/>
      <c r="G416" s="44"/>
      <c r="H416" s="45"/>
      <c r="I416" s="44"/>
      <c r="J416" s="44"/>
      <c r="K416" s="44"/>
      <c r="L416" s="44"/>
      <c r="M416" s="44"/>
      <c r="N416" s="45"/>
      <c r="O416" s="44"/>
      <c r="P416" s="44"/>
      <c r="Q416" s="44"/>
      <c r="R416" s="44"/>
      <c r="S416" s="45"/>
      <c r="T416" s="44"/>
      <c r="U416" s="31"/>
    </row>
    <row r="417" ht="15.75" customHeight="1">
      <c r="A417" s="47"/>
      <c r="B417" s="41">
        <v>1</v>
      </c>
      <c r="C417" s="42" t="s">
        <v>36</v>
      </c>
      <c r="D417" s="43" t="s">
        <v>341</v>
      </c>
      <c r="E417" s="41" t="s">
        <v>160</v>
      </c>
      <c r="F417" s="44">
        <v>0</v>
      </c>
      <c r="G417" s="44">
        <v>0</v>
      </c>
      <c r="H417" s="45">
        <v>0</v>
      </c>
      <c r="I417" s="44">
        <v>0</v>
      </c>
      <c r="J417" s="44">
        <v>0</v>
      </c>
      <c r="K417" s="44">
        <v>0</v>
      </c>
      <c r="L417" s="44">
        <v>0</v>
      </c>
      <c r="M417" s="44">
        <v>0</v>
      </c>
      <c r="N417" s="45">
        <v>2</v>
      </c>
      <c r="O417" s="44">
        <v>0</v>
      </c>
      <c r="P417" s="44">
        <v>0</v>
      </c>
      <c r="Q417" s="44">
        <v>34</v>
      </c>
      <c r="R417" s="44">
        <v>0</v>
      </c>
      <c r="S417" s="45">
        <v>0</v>
      </c>
      <c r="T417" s="44">
        <v>0</v>
      </c>
      <c r="U417" s="31"/>
    </row>
    <row r="418" ht="15.75" customHeight="1">
      <c r="A418" s="47"/>
      <c r="B418" s="46"/>
      <c r="C418" s="42"/>
      <c r="D418" s="43" t="s">
        <v>224</v>
      </c>
      <c r="E418" s="46"/>
      <c r="F418" s="44"/>
      <c r="G418" s="44"/>
      <c r="H418" s="45"/>
      <c r="I418" s="44"/>
      <c r="J418" s="44"/>
      <c r="K418" s="44"/>
      <c r="L418" s="44"/>
      <c r="M418" s="44"/>
      <c r="N418" s="45"/>
      <c r="O418" s="44"/>
      <c r="P418" s="44"/>
      <c r="Q418" s="44"/>
      <c r="R418" s="44"/>
      <c r="S418" s="45"/>
      <c r="T418" s="44"/>
      <c r="U418" s="31"/>
    </row>
    <row r="419" ht="15.75" customHeight="1">
      <c r="A419" s="47"/>
      <c r="B419" s="41">
        <v>1</v>
      </c>
      <c r="C419" s="42" t="s">
        <v>36</v>
      </c>
      <c r="D419" s="43" t="s">
        <v>342</v>
      </c>
      <c r="E419" s="41" t="s">
        <v>160</v>
      </c>
      <c r="F419" s="44">
        <v>0</v>
      </c>
      <c r="G419" s="44">
        <v>0</v>
      </c>
      <c r="H419" s="45">
        <v>0</v>
      </c>
      <c r="I419" s="44">
        <v>0</v>
      </c>
      <c r="J419" s="44">
        <v>0</v>
      </c>
      <c r="K419" s="44">
        <v>0</v>
      </c>
      <c r="L419" s="44">
        <v>0</v>
      </c>
      <c r="M419" s="44">
        <v>0</v>
      </c>
      <c r="N419" s="45">
        <v>2</v>
      </c>
      <c r="O419" s="44">
        <v>0</v>
      </c>
      <c r="P419" s="44">
        <v>0</v>
      </c>
      <c r="Q419" s="44">
        <v>34</v>
      </c>
      <c r="R419" s="44">
        <v>0</v>
      </c>
      <c r="S419" s="45">
        <v>0</v>
      </c>
      <c r="T419" s="44">
        <v>0</v>
      </c>
      <c r="U419" s="31"/>
    </row>
    <row r="420" ht="15.75" customHeight="1">
      <c r="A420" s="47"/>
      <c r="B420" s="46"/>
      <c r="C420" s="42"/>
      <c r="D420" s="43" t="s">
        <v>226</v>
      </c>
      <c r="E420" s="46"/>
      <c r="F420" s="44"/>
      <c r="G420" s="44"/>
      <c r="H420" s="45"/>
      <c r="I420" s="44"/>
      <c r="J420" s="44"/>
      <c r="K420" s="44"/>
      <c r="L420" s="44"/>
      <c r="M420" s="44"/>
      <c r="N420" s="45"/>
      <c r="O420" s="44"/>
      <c r="P420" s="44"/>
      <c r="Q420" s="44"/>
      <c r="R420" s="44"/>
      <c r="S420" s="45"/>
      <c r="T420" s="44"/>
      <c r="U420" s="31"/>
    </row>
    <row r="421" ht="15.75" customHeight="1">
      <c r="A421" s="47"/>
      <c r="B421" s="41">
        <v>1</v>
      </c>
      <c r="C421" s="42" t="s">
        <v>36</v>
      </c>
      <c r="D421" s="43" t="s">
        <v>343</v>
      </c>
      <c r="E421" s="41" t="s">
        <v>160</v>
      </c>
      <c r="F421" s="44">
        <v>0</v>
      </c>
      <c r="G421" s="44">
        <v>0</v>
      </c>
      <c r="H421" s="45">
        <v>0</v>
      </c>
      <c r="I421" s="44">
        <v>0</v>
      </c>
      <c r="J421" s="44">
        <v>0</v>
      </c>
      <c r="K421" s="44">
        <v>0</v>
      </c>
      <c r="L421" s="44">
        <v>0</v>
      </c>
      <c r="M421" s="44">
        <v>0</v>
      </c>
      <c r="N421" s="45">
        <v>2</v>
      </c>
      <c r="O421" s="44">
        <v>0</v>
      </c>
      <c r="P421" s="44">
        <v>0</v>
      </c>
      <c r="Q421" s="44">
        <v>34</v>
      </c>
      <c r="R421" s="44">
        <v>0</v>
      </c>
      <c r="S421" s="45">
        <v>0</v>
      </c>
      <c r="T421" s="44">
        <v>0</v>
      </c>
      <c r="U421" s="31"/>
    </row>
    <row r="422" ht="15.75" customHeight="1">
      <c r="A422" s="46"/>
      <c r="B422" s="46"/>
      <c r="C422" s="42"/>
      <c r="D422" s="43" t="s">
        <v>228</v>
      </c>
      <c r="E422" s="46"/>
      <c r="F422" s="44"/>
      <c r="G422" s="44"/>
      <c r="H422" s="45"/>
      <c r="I422" s="44"/>
      <c r="J422" s="44"/>
      <c r="K422" s="44"/>
      <c r="L422" s="44"/>
      <c r="M422" s="44"/>
      <c r="N422" s="45"/>
      <c r="O422" s="44"/>
      <c r="P422" s="44"/>
      <c r="Q422" s="44"/>
      <c r="R422" s="44"/>
      <c r="S422" s="45"/>
      <c r="T422" s="44"/>
      <c r="U422" s="31"/>
    </row>
    <row r="423" ht="15.75" customHeight="1">
      <c r="A423" s="41" t="s">
        <v>153</v>
      </c>
      <c r="B423" s="41">
        <v>1</v>
      </c>
      <c r="C423" s="42" t="s">
        <v>344</v>
      </c>
      <c r="D423" s="43" t="s">
        <v>345</v>
      </c>
      <c r="E423" s="41" t="s">
        <v>160</v>
      </c>
      <c r="F423" s="44">
        <v>0</v>
      </c>
      <c r="G423" s="44">
        <v>0</v>
      </c>
      <c r="H423" s="45">
        <v>10</v>
      </c>
      <c r="I423" s="44">
        <v>0</v>
      </c>
      <c r="J423" s="44">
        <v>0</v>
      </c>
      <c r="K423" s="44">
        <v>0</v>
      </c>
      <c r="L423" s="44">
        <v>0</v>
      </c>
      <c r="M423" s="44">
        <v>0</v>
      </c>
      <c r="N423" s="45">
        <v>2</v>
      </c>
      <c r="O423" s="44">
        <v>0</v>
      </c>
      <c r="P423" s="44">
        <v>0</v>
      </c>
      <c r="Q423" s="44">
        <v>24</v>
      </c>
      <c r="R423" s="44">
        <v>0</v>
      </c>
      <c r="S423" s="45">
        <v>0</v>
      </c>
      <c r="T423" s="44">
        <v>0</v>
      </c>
      <c r="U423" s="31"/>
    </row>
    <row r="424" ht="15.75" customHeight="1">
      <c r="A424" s="46"/>
      <c r="B424" s="46"/>
      <c r="C424" s="42"/>
      <c r="D424" s="43" t="s">
        <v>346</v>
      </c>
      <c r="E424" s="46"/>
      <c r="F424" s="44"/>
      <c r="G424" s="44"/>
      <c r="H424" s="45"/>
      <c r="I424" s="44"/>
      <c r="J424" s="44"/>
      <c r="K424" s="44"/>
      <c r="L424" s="44"/>
      <c r="M424" s="44"/>
      <c r="N424" s="45"/>
      <c r="O424" s="44"/>
      <c r="P424" s="44"/>
      <c r="Q424" s="44"/>
      <c r="R424" s="44"/>
      <c r="S424" s="45"/>
      <c r="T424" s="44"/>
      <c r="U424" s="31"/>
    </row>
    <row r="425" ht="15.75" customHeight="1">
      <c r="A425" s="41" t="s">
        <v>153</v>
      </c>
      <c r="B425" s="44" t="s">
        <v>205</v>
      </c>
      <c r="C425" s="42" t="s">
        <v>36</v>
      </c>
      <c r="D425" s="43" t="s">
        <v>206</v>
      </c>
      <c r="E425" s="44" t="s">
        <v>207</v>
      </c>
      <c r="F425" s="52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4"/>
      <c r="U425" s="31"/>
    </row>
    <row r="426" ht="15.75" customHeight="1">
      <c r="A426" s="47"/>
      <c r="B426" s="44" t="s">
        <v>231</v>
      </c>
      <c r="C426" s="42"/>
      <c r="D426" s="43" t="s">
        <v>347</v>
      </c>
      <c r="E426" s="44" t="s">
        <v>233</v>
      </c>
      <c r="F426" s="5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56"/>
      <c r="U426" s="31"/>
    </row>
    <row r="427" ht="15.75" customHeight="1">
      <c r="A427" s="47"/>
      <c r="B427" s="44"/>
      <c r="C427" s="42"/>
      <c r="D427" s="43" t="s">
        <v>348</v>
      </c>
      <c r="E427" s="44"/>
      <c r="F427" s="57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9"/>
      <c r="U427" s="31"/>
    </row>
    <row r="428" ht="15.75" customHeight="1">
      <c r="A428" s="47"/>
      <c r="B428" s="44"/>
      <c r="C428" s="42"/>
      <c r="D428" s="43" t="s">
        <v>235</v>
      </c>
      <c r="E428" s="44" t="s">
        <v>213</v>
      </c>
      <c r="F428" s="52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4"/>
      <c r="U428" s="31"/>
    </row>
    <row r="429" ht="15.75" customHeight="1">
      <c r="A429" s="46"/>
      <c r="B429" s="44"/>
      <c r="C429" s="42"/>
      <c r="D429" s="43"/>
      <c r="E429" s="44" t="s">
        <v>214</v>
      </c>
      <c r="F429" s="57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9"/>
      <c r="U429" s="31"/>
    </row>
    <row r="430" ht="15.75" customHeight="1">
      <c r="A430" s="41"/>
      <c r="B430" s="41">
        <v>1</v>
      </c>
      <c r="C430" s="42" t="s">
        <v>36</v>
      </c>
      <c r="D430" s="43" t="s">
        <v>349</v>
      </c>
      <c r="E430" s="41" t="s">
        <v>160</v>
      </c>
      <c r="F430" s="44">
        <v>0</v>
      </c>
      <c r="G430" s="44">
        <v>0</v>
      </c>
      <c r="H430" s="45">
        <v>0</v>
      </c>
      <c r="I430" s="44">
        <v>0</v>
      </c>
      <c r="J430" s="44">
        <v>0</v>
      </c>
      <c r="K430" s="44">
        <v>0</v>
      </c>
      <c r="L430" s="44">
        <v>0</v>
      </c>
      <c r="M430" s="44">
        <v>0</v>
      </c>
      <c r="N430" s="45">
        <v>2</v>
      </c>
      <c r="O430" s="44">
        <v>0</v>
      </c>
      <c r="P430" s="44">
        <v>0</v>
      </c>
      <c r="Q430" s="44">
        <v>34</v>
      </c>
      <c r="R430" s="44">
        <v>0</v>
      </c>
      <c r="S430" s="45">
        <v>0</v>
      </c>
      <c r="T430" s="44">
        <v>0</v>
      </c>
      <c r="U430" s="31"/>
    </row>
    <row r="431" ht="15.75" customHeight="1">
      <c r="A431" s="47"/>
      <c r="B431" s="46"/>
      <c r="C431" s="42"/>
      <c r="D431" s="43" t="s">
        <v>237</v>
      </c>
      <c r="E431" s="46"/>
      <c r="F431" s="44"/>
      <c r="G431" s="44"/>
      <c r="H431" s="45"/>
      <c r="I431" s="44"/>
      <c r="J431" s="44"/>
      <c r="K431" s="44"/>
      <c r="L431" s="44"/>
      <c r="M431" s="44"/>
      <c r="N431" s="45"/>
      <c r="O431" s="44"/>
      <c r="P431" s="44"/>
      <c r="Q431" s="44"/>
      <c r="R431" s="44"/>
      <c r="S431" s="45"/>
      <c r="T431" s="44"/>
      <c r="U431" s="31"/>
    </row>
    <row r="432" ht="15.75" customHeight="1">
      <c r="A432" s="47"/>
      <c r="B432" s="41">
        <v>1</v>
      </c>
      <c r="C432" s="42" t="s">
        <v>36</v>
      </c>
      <c r="D432" s="43" t="s">
        <v>350</v>
      </c>
      <c r="E432" s="41" t="s">
        <v>160</v>
      </c>
      <c r="F432" s="44">
        <v>0</v>
      </c>
      <c r="G432" s="44">
        <v>0</v>
      </c>
      <c r="H432" s="45">
        <v>0</v>
      </c>
      <c r="I432" s="44">
        <v>0</v>
      </c>
      <c r="J432" s="44">
        <v>0</v>
      </c>
      <c r="K432" s="44">
        <v>0</v>
      </c>
      <c r="L432" s="44">
        <v>0</v>
      </c>
      <c r="M432" s="44">
        <v>0</v>
      </c>
      <c r="N432" s="45">
        <v>2</v>
      </c>
      <c r="O432" s="44">
        <v>0</v>
      </c>
      <c r="P432" s="44">
        <v>0</v>
      </c>
      <c r="Q432" s="44">
        <v>34</v>
      </c>
      <c r="R432" s="44">
        <v>0</v>
      </c>
      <c r="S432" s="45">
        <v>0</v>
      </c>
      <c r="T432" s="44">
        <v>0</v>
      </c>
      <c r="U432" s="31"/>
    </row>
    <row r="433" ht="15.75" customHeight="1">
      <c r="A433" s="46"/>
      <c r="B433" s="46"/>
      <c r="C433" s="42"/>
      <c r="D433" s="43" t="s">
        <v>239</v>
      </c>
      <c r="E433" s="46"/>
      <c r="F433" s="44"/>
      <c r="G433" s="44"/>
      <c r="H433" s="45"/>
      <c r="I433" s="44"/>
      <c r="J433" s="44"/>
      <c r="K433" s="44"/>
      <c r="L433" s="44"/>
      <c r="M433" s="44"/>
      <c r="N433" s="45"/>
      <c r="O433" s="44"/>
      <c r="P433" s="44"/>
      <c r="Q433" s="44"/>
      <c r="R433" s="44"/>
      <c r="S433" s="45"/>
      <c r="T433" s="44"/>
      <c r="U433" s="31"/>
    </row>
    <row r="434" ht="17.25" customHeight="1">
      <c r="A434" s="39" t="s">
        <v>351</v>
      </c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6"/>
      <c r="U434" s="31"/>
    </row>
    <row r="435" ht="17.25" customHeight="1">
      <c r="A435" s="39" t="s">
        <v>352</v>
      </c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6"/>
      <c r="U435" s="31"/>
    </row>
    <row r="436" ht="17.25" customHeight="1">
      <c r="A436" s="40" t="s">
        <v>152</v>
      </c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6"/>
      <c r="U436" s="31"/>
    </row>
    <row r="437" ht="15.75" customHeight="1">
      <c r="A437" s="41" t="s">
        <v>153</v>
      </c>
      <c r="B437" s="41">
        <f>SUM(F437:S437)/36</f>
        <v>4</v>
      </c>
      <c r="C437" s="42" t="s">
        <v>353</v>
      </c>
      <c r="D437" s="43" t="s">
        <v>354</v>
      </c>
      <c r="E437" s="41" t="s">
        <v>156</v>
      </c>
      <c r="F437" s="44">
        <v>30</v>
      </c>
      <c r="G437" s="44">
        <v>0</v>
      </c>
      <c r="H437" s="45">
        <v>2</v>
      </c>
      <c r="I437" s="44">
        <v>32</v>
      </c>
      <c r="J437" s="44">
        <v>0</v>
      </c>
      <c r="K437" s="44">
        <v>0</v>
      </c>
      <c r="L437" s="44">
        <v>0</v>
      </c>
      <c r="M437" s="44">
        <v>0</v>
      </c>
      <c r="N437" s="45">
        <v>4</v>
      </c>
      <c r="O437" s="44">
        <v>0</v>
      </c>
      <c r="P437" s="44">
        <v>0</v>
      </c>
      <c r="Q437" s="44">
        <v>45</v>
      </c>
      <c r="R437" s="44">
        <v>0</v>
      </c>
      <c r="S437" s="45">
        <v>31</v>
      </c>
      <c r="T437" s="44">
        <v>30</v>
      </c>
      <c r="U437" s="31"/>
    </row>
    <row r="438" ht="15.75" customHeight="1">
      <c r="A438" s="46"/>
      <c r="B438" s="46"/>
      <c r="C438" s="42"/>
      <c r="D438" s="43" t="s">
        <v>355</v>
      </c>
      <c r="E438" s="46"/>
      <c r="F438" s="44"/>
      <c r="G438" s="44"/>
      <c r="H438" s="45"/>
      <c r="I438" s="44"/>
      <c r="J438" s="44"/>
      <c r="K438" s="44"/>
      <c r="L438" s="44"/>
      <c r="M438" s="44"/>
      <c r="N438" s="45"/>
      <c r="O438" s="44"/>
      <c r="P438" s="44"/>
      <c r="Q438" s="44"/>
      <c r="R438" s="44"/>
      <c r="S438" s="45"/>
      <c r="T438" s="44"/>
      <c r="U438" s="31"/>
    </row>
    <row r="439" ht="15.75" customHeight="1">
      <c r="A439" s="41" t="s">
        <v>153</v>
      </c>
      <c r="B439" s="41">
        <f>SUM(F439:S439)/36</f>
        <v>1</v>
      </c>
      <c r="C439" s="42" t="s">
        <v>356</v>
      </c>
      <c r="D439" s="43" t="s">
        <v>357</v>
      </c>
      <c r="E439" s="41" t="s">
        <v>160</v>
      </c>
      <c r="F439" s="44">
        <v>0</v>
      </c>
      <c r="G439" s="44">
        <v>0</v>
      </c>
      <c r="H439" s="45">
        <v>10</v>
      </c>
      <c r="I439" s="44">
        <v>0</v>
      </c>
      <c r="J439" s="44">
        <v>0</v>
      </c>
      <c r="K439" s="44">
        <v>0</v>
      </c>
      <c r="L439" s="44">
        <v>0</v>
      </c>
      <c r="M439" s="44">
        <v>0</v>
      </c>
      <c r="N439" s="45">
        <v>2</v>
      </c>
      <c r="O439" s="44">
        <v>0</v>
      </c>
      <c r="P439" s="44">
        <v>0</v>
      </c>
      <c r="Q439" s="44">
        <v>24</v>
      </c>
      <c r="R439" s="44">
        <v>0</v>
      </c>
      <c r="S439" s="45">
        <v>0</v>
      </c>
      <c r="T439" s="44">
        <v>0</v>
      </c>
      <c r="U439" s="31"/>
    </row>
    <row r="440" ht="15.75" customHeight="1">
      <c r="A440" s="46"/>
      <c r="B440" s="46"/>
      <c r="C440" s="42"/>
      <c r="D440" s="43" t="s">
        <v>358</v>
      </c>
      <c r="E440" s="46"/>
      <c r="F440" s="44"/>
      <c r="G440" s="44"/>
      <c r="H440" s="45"/>
      <c r="I440" s="44"/>
      <c r="J440" s="44"/>
      <c r="K440" s="44"/>
      <c r="L440" s="44"/>
      <c r="M440" s="44"/>
      <c r="N440" s="45"/>
      <c r="O440" s="44"/>
      <c r="P440" s="44"/>
      <c r="Q440" s="44"/>
      <c r="R440" s="44"/>
      <c r="S440" s="45"/>
      <c r="T440" s="44"/>
      <c r="U440" s="31"/>
    </row>
    <row r="441" ht="15.75" customHeight="1">
      <c r="A441" s="41" t="s">
        <v>153</v>
      </c>
      <c r="B441" s="41">
        <f>SUM(F441:S441)/36</f>
        <v>4</v>
      </c>
      <c r="C441" s="42" t="s">
        <v>44</v>
      </c>
      <c r="D441" s="43" t="s">
        <v>359</v>
      </c>
      <c r="E441" s="41" t="s">
        <v>360</v>
      </c>
      <c r="F441" s="44">
        <v>34</v>
      </c>
      <c r="G441" s="44">
        <v>0</v>
      </c>
      <c r="H441" s="45">
        <v>10</v>
      </c>
      <c r="I441" s="44">
        <v>34</v>
      </c>
      <c r="J441" s="44">
        <v>0</v>
      </c>
      <c r="K441" s="44">
        <v>0</v>
      </c>
      <c r="L441" s="44">
        <v>0</v>
      </c>
      <c r="M441" s="44">
        <v>0</v>
      </c>
      <c r="N441" s="45">
        <v>6</v>
      </c>
      <c r="O441" s="44">
        <v>0</v>
      </c>
      <c r="P441" s="44">
        <v>0</v>
      </c>
      <c r="Q441" s="44">
        <v>60</v>
      </c>
      <c r="R441" s="44">
        <v>0</v>
      </c>
      <c r="S441" s="45">
        <v>0</v>
      </c>
      <c r="T441" s="44">
        <v>0</v>
      </c>
      <c r="U441" s="31"/>
    </row>
    <row r="442" ht="15.75" customHeight="1">
      <c r="A442" s="46"/>
      <c r="B442" s="46"/>
      <c r="C442" s="42"/>
      <c r="D442" s="43" t="s">
        <v>361</v>
      </c>
      <c r="E442" s="46"/>
      <c r="F442" s="44"/>
      <c r="G442" s="44"/>
      <c r="H442" s="45"/>
      <c r="I442" s="44"/>
      <c r="J442" s="44"/>
      <c r="K442" s="44"/>
      <c r="L442" s="44"/>
      <c r="M442" s="44"/>
      <c r="N442" s="45"/>
      <c r="O442" s="44"/>
      <c r="P442" s="44"/>
      <c r="Q442" s="44"/>
      <c r="R442" s="44"/>
      <c r="S442" s="45"/>
      <c r="T442" s="44"/>
      <c r="U442" s="31"/>
    </row>
    <row r="443" ht="15.75" customHeight="1">
      <c r="A443" s="41" t="s">
        <v>153</v>
      </c>
      <c r="B443" s="41">
        <f>SUM(F443:S443)/36</f>
        <v>4</v>
      </c>
      <c r="C443" s="42" t="s">
        <v>362</v>
      </c>
      <c r="D443" s="43" t="s">
        <v>363</v>
      </c>
      <c r="E443" s="41" t="s">
        <v>160</v>
      </c>
      <c r="F443" s="44">
        <v>30</v>
      </c>
      <c r="G443" s="44">
        <v>0</v>
      </c>
      <c r="H443" s="45">
        <v>0</v>
      </c>
      <c r="I443" s="44">
        <v>32</v>
      </c>
      <c r="J443" s="44">
        <v>0</v>
      </c>
      <c r="K443" s="44">
        <v>0</v>
      </c>
      <c r="L443" s="44">
        <v>0</v>
      </c>
      <c r="M443" s="44">
        <v>0</v>
      </c>
      <c r="N443" s="45">
        <v>2</v>
      </c>
      <c r="O443" s="44">
        <v>0</v>
      </c>
      <c r="P443" s="44">
        <v>0</v>
      </c>
      <c r="Q443" s="44">
        <v>73</v>
      </c>
      <c r="R443" s="44">
        <v>0</v>
      </c>
      <c r="S443" s="45">
        <v>7</v>
      </c>
      <c r="T443" s="44">
        <v>30</v>
      </c>
      <c r="U443" s="31"/>
    </row>
    <row r="444" ht="15.75" customHeight="1">
      <c r="A444" s="46"/>
      <c r="B444" s="46"/>
      <c r="C444" s="42"/>
      <c r="D444" s="43" t="s">
        <v>364</v>
      </c>
      <c r="E444" s="46"/>
      <c r="F444" s="44"/>
      <c r="G444" s="44"/>
      <c r="H444" s="45"/>
      <c r="I444" s="44"/>
      <c r="J444" s="44"/>
      <c r="K444" s="44"/>
      <c r="L444" s="44"/>
      <c r="M444" s="44"/>
      <c r="N444" s="45"/>
      <c r="O444" s="44"/>
      <c r="P444" s="44"/>
      <c r="Q444" s="44"/>
      <c r="R444" s="44"/>
      <c r="S444" s="45"/>
      <c r="T444" s="44"/>
      <c r="U444" s="31"/>
    </row>
    <row r="445" ht="17.25" customHeight="1">
      <c r="A445" s="60" t="s">
        <v>245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50"/>
      <c r="U445" s="31"/>
    </row>
    <row r="446" ht="15.75" customHeight="1">
      <c r="A446" s="41" t="s">
        <v>248</v>
      </c>
      <c r="B446" s="41">
        <f>SUM(F446:S446)/36</f>
        <v>6</v>
      </c>
      <c r="C446" s="42" t="s">
        <v>249</v>
      </c>
      <c r="D446" s="43" t="s">
        <v>250</v>
      </c>
      <c r="E446" s="41" t="s">
        <v>160</v>
      </c>
      <c r="F446" s="44">
        <v>2</v>
      </c>
      <c r="G446" s="44">
        <v>14</v>
      </c>
      <c r="H446" s="45">
        <v>0</v>
      </c>
      <c r="I446" s="44">
        <v>0</v>
      </c>
      <c r="J446" s="44">
        <v>0</v>
      </c>
      <c r="K446" s="44">
        <v>0</v>
      </c>
      <c r="L446" s="44">
        <v>0</v>
      </c>
      <c r="M446" s="44">
        <v>0</v>
      </c>
      <c r="N446" s="45">
        <v>4</v>
      </c>
      <c r="O446" s="44">
        <v>32</v>
      </c>
      <c r="P446" s="44">
        <v>50</v>
      </c>
      <c r="Q446" s="44">
        <v>110</v>
      </c>
      <c r="R446" s="44">
        <v>0</v>
      </c>
      <c r="S446" s="45">
        <v>4</v>
      </c>
      <c r="T446" s="44">
        <v>0</v>
      </c>
      <c r="U446" s="31"/>
    </row>
    <row r="447" ht="15.75" customHeight="1">
      <c r="A447" s="46"/>
      <c r="B447" s="46"/>
      <c r="C447" s="42"/>
      <c r="D447" s="43" t="s">
        <v>252</v>
      </c>
      <c r="E447" s="46"/>
      <c r="F447" s="44"/>
      <c r="G447" s="44"/>
      <c r="H447" s="45"/>
      <c r="I447" s="44"/>
      <c r="J447" s="44"/>
      <c r="K447" s="44"/>
      <c r="L447" s="44"/>
      <c r="M447" s="44"/>
      <c r="N447" s="45"/>
      <c r="O447" s="44"/>
      <c r="P447" s="44"/>
      <c r="Q447" s="44"/>
      <c r="R447" s="44"/>
      <c r="S447" s="45"/>
      <c r="T447" s="44"/>
      <c r="U447" s="31"/>
    </row>
    <row r="448" ht="15.75" customHeight="1">
      <c r="A448" s="41" t="s">
        <v>153</v>
      </c>
      <c r="B448" s="41">
        <f>SUM(F448:S448)/36</f>
        <v>3</v>
      </c>
      <c r="C448" s="42" t="s">
        <v>365</v>
      </c>
      <c r="D448" s="43" t="s">
        <v>366</v>
      </c>
      <c r="E448" s="41" t="s">
        <v>169</v>
      </c>
      <c r="F448" s="44">
        <v>32</v>
      </c>
      <c r="G448" s="44">
        <v>0</v>
      </c>
      <c r="H448" s="45">
        <v>2</v>
      </c>
      <c r="I448" s="44">
        <v>0</v>
      </c>
      <c r="J448" s="44">
        <v>0</v>
      </c>
      <c r="K448" s="44">
        <v>0</v>
      </c>
      <c r="L448" s="44">
        <v>0</v>
      </c>
      <c r="M448" s="44">
        <v>0</v>
      </c>
      <c r="N448" s="45">
        <v>2</v>
      </c>
      <c r="O448" s="44">
        <v>0</v>
      </c>
      <c r="P448" s="44">
        <v>0</v>
      </c>
      <c r="Q448" s="44">
        <v>48</v>
      </c>
      <c r="R448" s="44">
        <v>0</v>
      </c>
      <c r="S448" s="45">
        <v>24</v>
      </c>
      <c r="T448" s="44">
        <v>0</v>
      </c>
      <c r="U448" s="31"/>
    </row>
    <row r="449" ht="15.75" customHeight="1">
      <c r="A449" s="46"/>
      <c r="B449" s="46"/>
      <c r="C449" s="42"/>
      <c r="D449" s="43" t="s">
        <v>367</v>
      </c>
      <c r="E449" s="46"/>
      <c r="F449" s="44"/>
      <c r="G449" s="44"/>
      <c r="H449" s="45"/>
      <c r="I449" s="44"/>
      <c r="J449" s="44"/>
      <c r="K449" s="44"/>
      <c r="L449" s="44"/>
      <c r="M449" s="44"/>
      <c r="N449" s="45"/>
      <c r="O449" s="44"/>
      <c r="P449" s="44"/>
      <c r="Q449" s="44"/>
      <c r="R449" s="44"/>
      <c r="S449" s="45"/>
      <c r="T449" s="44"/>
      <c r="U449" s="31"/>
    </row>
    <row r="450" ht="15.75" customHeight="1">
      <c r="A450" s="41" t="s">
        <v>153</v>
      </c>
      <c r="B450" s="41">
        <f>SUM(F450:S450)/36</f>
        <v>4</v>
      </c>
      <c r="C450" s="42" t="s">
        <v>275</v>
      </c>
      <c r="D450" s="43" t="s">
        <v>368</v>
      </c>
      <c r="E450" s="41" t="s">
        <v>169</v>
      </c>
      <c r="F450" s="44">
        <v>30</v>
      </c>
      <c r="G450" s="44">
        <v>30</v>
      </c>
      <c r="H450" s="45">
        <v>2</v>
      </c>
      <c r="I450" s="44">
        <v>0</v>
      </c>
      <c r="J450" s="44">
        <v>0</v>
      </c>
      <c r="K450" s="44">
        <v>2</v>
      </c>
      <c r="L450" s="44">
        <v>0</v>
      </c>
      <c r="M450" s="44">
        <v>0</v>
      </c>
      <c r="N450" s="45">
        <v>2</v>
      </c>
      <c r="O450" s="44">
        <v>0</v>
      </c>
      <c r="P450" s="44">
        <v>0</v>
      </c>
      <c r="Q450" s="44">
        <v>54</v>
      </c>
      <c r="R450" s="44">
        <v>0</v>
      </c>
      <c r="S450" s="45">
        <v>24</v>
      </c>
      <c r="T450" s="44">
        <v>30</v>
      </c>
      <c r="U450" s="31"/>
    </row>
    <row r="451" ht="15.75" customHeight="1">
      <c r="A451" s="46"/>
      <c r="B451" s="46"/>
      <c r="C451" s="42"/>
      <c r="D451" s="43" t="s">
        <v>369</v>
      </c>
      <c r="E451" s="46"/>
      <c r="F451" s="44"/>
      <c r="G451" s="44"/>
      <c r="H451" s="45"/>
      <c r="I451" s="44"/>
      <c r="J451" s="44"/>
      <c r="K451" s="44"/>
      <c r="L451" s="44"/>
      <c r="M451" s="44"/>
      <c r="N451" s="45"/>
      <c r="O451" s="44"/>
      <c r="P451" s="44"/>
      <c r="Q451" s="44"/>
      <c r="R451" s="44"/>
      <c r="S451" s="45"/>
      <c r="T451" s="44"/>
      <c r="U451" s="31"/>
    </row>
    <row r="452" ht="17.25" customHeight="1">
      <c r="A452" s="60" t="s">
        <v>247</v>
      </c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50"/>
      <c r="U452" s="31"/>
    </row>
    <row r="453" ht="15.75" customHeight="1">
      <c r="A453" s="41" t="s">
        <v>248</v>
      </c>
      <c r="B453" s="41">
        <f>SUM(F453:S453)/36</f>
        <v>6</v>
      </c>
      <c r="C453" s="42" t="s">
        <v>249</v>
      </c>
      <c r="D453" s="43" t="s">
        <v>250</v>
      </c>
      <c r="E453" s="41" t="s">
        <v>160</v>
      </c>
      <c r="F453" s="44">
        <v>2</v>
      </c>
      <c r="G453" s="44">
        <v>14</v>
      </c>
      <c r="H453" s="45">
        <v>0</v>
      </c>
      <c r="I453" s="44">
        <v>0</v>
      </c>
      <c r="J453" s="44">
        <v>0</v>
      </c>
      <c r="K453" s="44">
        <v>0</v>
      </c>
      <c r="L453" s="44">
        <v>0</v>
      </c>
      <c r="M453" s="44">
        <v>0</v>
      </c>
      <c r="N453" s="45">
        <v>4</v>
      </c>
      <c r="O453" s="44">
        <v>32</v>
      </c>
      <c r="P453" s="44">
        <v>50</v>
      </c>
      <c r="Q453" s="44">
        <v>110</v>
      </c>
      <c r="R453" s="44">
        <v>0</v>
      </c>
      <c r="S453" s="45">
        <v>4</v>
      </c>
      <c r="T453" s="44">
        <v>0</v>
      </c>
      <c r="U453" s="31"/>
    </row>
    <row r="454" ht="15.75" customHeight="1">
      <c r="A454" s="46"/>
      <c r="B454" s="46"/>
      <c r="C454" s="42"/>
      <c r="D454" s="43" t="s">
        <v>252</v>
      </c>
      <c r="E454" s="46"/>
      <c r="F454" s="44"/>
      <c r="G454" s="44"/>
      <c r="H454" s="45"/>
      <c r="I454" s="44"/>
      <c r="J454" s="44"/>
      <c r="K454" s="44"/>
      <c r="L454" s="44"/>
      <c r="M454" s="44"/>
      <c r="N454" s="45"/>
      <c r="O454" s="44"/>
      <c r="P454" s="44"/>
      <c r="Q454" s="44"/>
      <c r="R454" s="44"/>
      <c r="S454" s="45"/>
      <c r="T454" s="44"/>
      <c r="U454" s="31"/>
    </row>
    <row r="455" ht="15.75" customHeight="1">
      <c r="A455" s="41" t="s">
        <v>153</v>
      </c>
      <c r="B455" s="41">
        <f>SUM(F455:S455)/36</f>
        <v>4</v>
      </c>
      <c r="C455" s="42" t="s">
        <v>332</v>
      </c>
      <c r="D455" s="43" t="s">
        <v>370</v>
      </c>
      <c r="E455" s="41" t="s">
        <v>156</v>
      </c>
      <c r="F455" s="44">
        <v>28</v>
      </c>
      <c r="G455" s="44">
        <v>0</v>
      </c>
      <c r="H455" s="45">
        <v>2</v>
      </c>
      <c r="I455" s="44">
        <v>28</v>
      </c>
      <c r="J455" s="44">
        <v>0</v>
      </c>
      <c r="K455" s="44">
        <v>0</v>
      </c>
      <c r="L455" s="44">
        <v>0</v>
      </c>
      <c r="M455" s="44">
        <v>0</v>
      </c>
      <c r="N455" s="45">
        <v>2</v>
      </c>
      <c r="O455" s="44">
        <v>0</v>
      </c>
      <c r="P455" s="44">
        <v>0</v>
      </c>
      <c r="Q455" s="44">
        <v>60</v>
      </c>
      <c r="R455" s="44">
        <v>0</v>
      </c>
      <c r="S455" s="45">
        <v>24</v>
      </c>
      <c r="T455" s="44">
        <v>28</v>
      </c>
      <c r="U455" s="31"/>
    </row>
    <row r="456" ht="15.75" customHeight="1">
      <c r="A456" s="46"/>
      <c r="B456" s="46"/>
      <c r="C456" s="42"/>
      <c r="D456" s="43" t="s">
        <v>371</v>
      </c>
      <c r="E456" s="46"/>
      <c r="F456" s="44"/>
      <c r="G456" s="44"/>
      <c r="H456" s="45"/>
      <c r="I456" s="44"/>
      <c r="J456" s="44"/>
      <c r="K456" s="44"/>
      <c r="L456" s="44"/>
      <c r="M456" s="44"/>
      <c r="N456" s="45"/>
      <c r="O456" s="44"/>
      <c r="P456" s="44"/>
      <c r="Q456" s="44"/>
      <c r="R456" s="44"/>
      <c r="S456" s="45"/>
      <c r="T456" s="44"/>
      <c r="U456" s="31"/>
    </row>
    <row r="457" ht="15.75" customHeight="1">
      <c r="A457" s="41" t="s">
        <v>153</v>
      </c>
      <c r="B457" s="41">
        <f>SUM(F457:S457)/36</f>
        <v>3</v>
      </c>
      <c r="C457" s="42" t="s">
        <v>372</v>
      </c>
      <c r="D457" s="43" t="s">
        <v>373</v>
      </c>
      <c r="E457" s="41" t="s">
        <v>169</v>
      </c>
      <c r="F457" s="44">
        <v>20</v>
      </c>
      <c r="G457" s="44">
        <v>20</v>
      </c>
      <c r="H457" s="45">
        <v>0</v>
      </c>
      <c r="I457" s="44">
        <v>20</v>
      </c>
      <c r="J457" s="44">
        <v>0</v>
      </c>
      <c r="K457" s="44">
        <v>0</v>
      </c>
      <c r="L457" s="44">
        <v>0</v>
      </c>
      <c r="M457" s="44">
        <v>0</v>
      </c>
      <c r="N457" s="45">
        <v>2</v>
      </c>
      <c r="O457" s="44">
        <v>0</v>
      </c>
      <c r="P457" s="44">
        <v>0</v>
      </c>
      <c r="Q457" s="44">
        <v>39</v>
      </c>
      <c r="R457" s="44">
        <v>0</v>
      </c>
      <c r="S457" s="45">
        <v>7</v>
      </c>
      <c r="T457" s="44">
        <v>42</v>
      </c>
      <c r="U457" s="31"/>
    </row>
    <row r="458" ht="15.75" customHeight="1">
      <c r="A458" s="46"/>
      <c r="B458" s="46"/>
      <c r="C458" s="42"/>
      <c r="D458" s="43" t="s">
        <v>374</v>
      </c>
      <c r="E458" s="46"/>
      <c r="F458" s="44"/>
      <c r="G458" s="44"/>
      <c r="H458" s="45"/>
      <c r="I458" s="44"/>
      <c r="J458" s="44"/>
      <c r="K458" s="44"/>
      <c r="L458" s="44"/>
      <c r="M458" s="44"/>
      <c r="N458" s="45"/>
      <c r="O458" s="44"/>
      <c r="P458" s="44"/>
      <c r="Q458" s="44"/>
      <c r="R458" s="44"/>
      <c r="S458" s="45"/>
      <c r="T458" s="44"/>
      <c r="U458" s="31"/>
    </row>
    <row r="459" ht="17.25" customHeight="1">
      <c r="A459" s="40" t="s">
        <v>202</v>
      </c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6"/>
      <c r="U459" s="31"/>
    </row>
    <row r="460" ht="17.25" customHeight="1">
      <c r="A460" s="60" t="s">
        <v>245</v>
      </c>
      <c r="B460" s="49"/>
      <c r="C460" s="53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50"/>
      <c r="U460" s="31"/>
    </row>
    <row r="461" ht="15.75" customHeight="1">
      <c r="A461" s="41" t="s">
        <v>153</v>
      </c>
      <c r="B461" s="52">
        <v>4</v>
      </c>
      <c r="C461" s="64" t="s">
        <v>375</v>
      </c>
      <c r="D461" s="65" t="s">
        <v>376</v>
      </c>
      <c r="E461" s="41" t="s">
        <v>169</v>
      </c>
      <c r="F461" s="44">
        <v>24</v>
      </c>
      <c r="G461" s="44">
        <v>0</v>
      </c>
      <c r="H461" s="45">
        <v>2</v>
      </c>
      <c r="I461" s="44">
        <v>8</v>
      </c>
      <c r="J461" s="44">
        <v>0</v>
      </c>
      <c r="K461" s="44">
        <v>0</v>
      </c>
      <c r="L461" s="44">
        <v>0</v>
      </c>
      <c r="M461" s="44">
        <v>0</v>
      </c>
      <c r="N461" s="45">
        <v>2</v>
      </c>
      <c r="O461" s="44">
        <v>0</v>
      </c>
      <c r="P461" s="44">
        <v>0</v>
      </c>
      <c r="Q461" s="44">
        <v>84</v>
      </c>
      <c r="R461" s="44">
        <v>0</v>
      </c>
      <c r="S461" s="45">
        <v>24</v>
      </c>
      <c r="T461" s="44">
        <v>16</v>
      </c>
      <c r="U461" s="31"/>
    </row>
    <row r="462" ht="15.75" customHeight="1">
      <c r="A462" s="47"/>
      <c r="B462" s="55"/>
      <c r="C462" s="66"/>
      <c r="D462" s="65" t="s">
        <v>377</v>
      </c>
      <c r="E462" s="47"/>
      <c r="F462" s="44"/>
      <c r="G462" s="44"/>
      <c r="H462" s="45"/>
      <c r="I462" s="44"/>
      <c r="J462" s="44"/>
      <c r="K462" s="44"/>
      <c r="L462" s="44"/>
      <c r="M462" s="44"/>
      <c r="N462" s="45"/>
      <c r="O462" s="44"/>
      <c r="P462" s="44"/>
      <c r="Q462" s="44"/>
      <c r="R462" s="44"/>
      <c r="S462" s="45"/>
      <c r="T462" s="44"/>
      <c r="U462" s="31"/>
    </row>
    <row r="463" ht="15.75" customHeight="1">
      <c r="A463" s="47"/>
      <c r="B463" s="55"/>
      <c r="C463" s="64" t="s">
        <v>378</v>
      </c>
      <c r="D463" s="65" t="s">
        <v>379</v>
      </c>
      <c r="E463" s="47"/>
      <c r="F463" s="44">
        <v>30</v>
      </c>
      <c r="G463" s="44">
        <v>0</v>
      </c>
      <c r="H463" s="45">
        <v>2</v>
      </c>
      <c r="I463" s="44">
        <v>30</v>
      </c>
      <c r="J463" s="44">
        <v>0</v>
      </c>
      <c r="K463" s="44">
        <v>0</v>
      </c>
      <c r="L463" s="44">
        <v>0</v>
      </c>
      <c r="M463" s="44">
        <v>0</v>
      </c>
      <c r="N463" s="45">
        <v>2</v>
      </c>
      <c r="O463" s="44">
        <v>0</v>
      </c>
      <c r="P463" s="44">
        <v>0</v>
      </c>
      <c r="Q463" s="44">
        <v>56</v>
      </c>
      <c r="R463" s="44">
        <v>0</v>
      </c>
      <c r="S463" s="45">
        <v>24</v>
      </c>
      <c r="T463" s="44">
        <v>30</v>
      </c>
      <c r="U463" s="31"/>
    </row>
    <row r="464" ht="15.75" customHeight="1">
      <c r="A464" s="47"/>
      <c r="B464" s="55"/>
      <c r="C464" s="66"/>
      <c r="D464" s="65" t="s">
        <v>380</v>
      </c>
      <c r="E464" s="47"/>
      <c r="F464" s="44"/>
      <c r="G464" s="44"/>
      <c r="H464" s="45"/>
      <c r="I464" s="44"/>
      <c r="J464" s="44"/>
      <c r="K464" s="44"/>
      <c r="L464" s="44"/>
      <c r="M464" s="44"/>
      <c r="N464" s="45"/>
      <c r="O464" s="44"/>
      <c r="P464" s="44"/>
      <c r="Q464" s="44"/>
      <c r="R464" s="44"/>
      <c r="S464" s="45"/>
      <c r="T464" s="44"/>
      <c r="U464" s="31"/>
    </row>
    <row r="465" ht="15.75" customHeight="1">
      <c r="A465" s="47"/>
      <c r="B465" s="55"/>
      <c r="C465" s="64" t="s">
        <v>332</v>
      </c>
      <c r="D465" s="65" t="s">
        <v>333</v>
      </c>
      <c r="E465" s="47"/>
      <c r="F465" s="44">
        <v>30</v>
      </c>
      <c r="G465" s="44">
        <v>0</v>
      </c>
      <c r="H465" s="45">
        <v>2</v>
      </c>
      <c r="I465" s="44">
        <v>30</v>
      </c>
      <c r="J465" s="44">
        <v>0</v>
      </c>
      <c r="K465" s="44">
        <v>0</v>
      </c>
      <c r="L465" s="44">
        <v>0</v>
      </c>
      <c r="M465" s="44">
        <v>0</v>
      </c>
      <c r="N465" s="45">
        <v>2</v>
      </c>
      <c r="O465" s="44">
        <v>0</v>
      </c>
      <c r="P465" s="44">
        <v>0</v>
      </c>
      <c r="Q465" s="44">
        <v>56</v>
      </c>
      <c r="R465" s="44">
        <v>0</v>
      </c>
      <c r="S465" s="45">
        <v>24</v>
      </c>
      <c r="T465" s="44">
        <v>32</v>
      </c>
      <c r="U465" s="31"/>
    </row>
    <row r="466" ht="15.75" customHeight="1">
      <c r="A466" s="47"/>
      <c r="B466" s="55"/>
      <c r="C466" s="66"/>
      <c r="D466" s="65" t="s">
        <v>334</v>
      </c>
      <c r="E466" s="47"/>
      <c r="F466" s="44"/>
      <c r="G466" s="44"/>
      <c r="H466" s="45"/>
      <c r="I466" s="44"/>
      <c r="J466" s="44"/>
      <c r="K466" s="44"/>
      <c r="L466" s="44"/>
      <c r="M466" s="44"/>
      <c r="N466" s="45"/>
      <c r="O466" s="44"/>
      <c r="P466" s="44"/>
      <c r="Q466" s="44"/>
      <c r="R466" s="44"/>
      <c r="S466" s="45"/>
      <c r="T466" s="44"/>
      <c r="U466" s="31"/>
    </row>
    <row r="467" ht="15.75" customHeight="1">
      <c r="A467" s="47"/>
      <c r="B467" s="55"/>
      <c r="C467" s="64" t="s">
        <v>381</v>
      </c>
      <c r="D467" s="65" t="s">
        <v>382</v>
      </c>
      <c r="E467" s="47"/>
      <c r="F467" s="44">
        <v>30</v>
      </c>
      <c r="G467" s="44">
        <v>0</v>
      </c>
      <c r="H467" s="45">
        <v>2</v>
      </c>
      <c r="I467" s="44">
        <v>30</v>
      </c>
      <c r="J467" s="44">
        <v>0</v>
      </c>
      <c r="K467" s="44">
        <v>0</v>
      </c>
      <c r="L467" s="44">
        <v>0</v>
      </c>
      <c r="M467" s="44">
        <v>0</v>
      </c>
      <c r="N467" s="45">
        <v>2</v>
      </c>
      <c r="O467" s="44">
        <v>0</v>
      </c>
      <c r="P467" s="44">
        <v>0</v>
      </c>
      <c r="Q467" s="44">
        <v>56</v>
      </c>
      <c r="R467" s="44">
        <v>0</v>
      </c>
      <c r="S467" s="45">
        <v>24</v>
      </c>
      <c r="T467" s="44">
        <v>30</v>
      </c>
      <c r="U467" s="31"/>
    </row>
    <row r="468" ht="15.75" customHeight="1">
      <c r="A468" s="46"/>
      <c r="B468" s="57"/>
      <c r="C468" s="66"/>
      <c r="D468" s="65" t="s">
        <v>383</v>
      </c>
      <c r="E468" s="46"/>
      <c r="F468" s="44"/>
      <c r="G468" s="44"/>
      <c r="H468" s="45"/>
      <c r="I468" s="44"/>
      <c r="J468" s="44"/>
      <c r="K468" s="44"/>
      <c r="L468" s="44"/>
      <c r="M468" s="44"/>
      <c r="N468" s="45"/>
      <c r="O468" s="44"/>
      <c r="P468" s="44"/>
      <c r="Q468" s="44"/>
      <c r="R468" s="44"/>
      <c r="S468" s="45"/>
      <c r="T468" s="44"/>
      <c r="U468" s="31"/>
    </row>
    <row r="469" ht="17.25" customHeight="1">
      <c r="A469" s="60" t="s">
        <v>247</v>
      </c>
      <c r="B469" s="49"/>
      <c r="C469" s="67"/>
      <c r="D469" s="49"/>
      <c r="E469" s="49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4"/>
      <c r="U469" s="31"/>
    </row>
    <row r="470" ht="15.75" customHeight="1">
      <c r="A470" s="41" t="s">
        <v>153</v>
      </c>
      <c r="B470" s="52">
        <v>4</v>
      </c>
      <c r="C470" s="64" t="s">
        <v>384</v>
      </c>
      <c r="D470" s="65" t="s">
        <v>385</v>
      </c>
      <c r="E470" s="52" t="s">
        <v>169</v>
      </c>
      <c r="F470" s="61">
        <v>16</v>
      </c>
      <c r="G470" s="61">
        <v>16</v>
      </c>
      <c r="H470" s="68">
        <v>2</v>
      </c>
      <c r="I470" s="61">
        <v>28</v>
      </c>
      <c r="J470" s="61">
        <v>0</v>
      </c>
      <c r="K470" s="61">
        <v>0</v>
      </c>
      <c r="L470" s="61">
        <v>0</v>
      </c>
      <c r="M470" s="61">
        <v>0</v>
      </c>
      <c r="N470" s="68">
        <v>2</v>
      </c>
      <c r="O470" s="61">
        <v>0</v>
      </c>
      <c r="P470" s="61">
        <v>0</v>
      </c>
      <c r="Q470" s="61">
        <v>56</v>
      </c>
      <c r="R470" s="61">
        <v>0</v>
      </c>
      <c r="S470" s="68">
        <v>24</v>
      </c>
      <c r="T470" s="61">
        <v>46</v>
      </c>
      <c r="U470" s="31"/>
    </row>
    <row r="471" ht="15.75" customHeight="1">
      <c r="A471" s="47"/>
      <c r="B471" s="55"/>
      <c r="C471" s="66"/>
      <c r="D471" s="65" t="s">
        <v>385</v>
      </c>
      <c r="E471" s="55"/>
      <c r="F471" s="69"/>
      <c r="G471" s="69"/>
      <c r="H471" s="70"/>
      <c r="I471" s="69"/>
      <c r="J471" s="69"/>
      <c r="K471" s="69"/>
      <c r="L471" s="69"/>
      <c r="M471" s="69"/>
      <c r="N471" s="70"/>
      <c r="O471" s="69"/>
      <c r="P471" s="69"/>
      <c r="Q471" s="69"/>
      <c r="R471" s="69"/>
      <c r="S471" s="70"/>
      <c r="T471" s="69"/>
      <c r="U471" s="31"/>
    </row>
    <row r="472" ht="15.75" customHeight="1">
      <c r="A472" s="47"/>
      <c r="B472" s="55"/>
      <c r="C472" s="64" t="s">
        <v>386</v>
      </c>
      <c r="D472" s="65" t="s">
        <v>387</v>
      </c>
      <c r="E472" s="55"/>
      <c r="F472" s="61">
        <v>30</v>
      </c>
      <c r="G472" s="61">
        <v>0</v>
      </c>
      <c r="H472" s="68">
        <v>2</v>
      </c>
      <c r="I472" s="61">
        <v>30</v>
      </c>
      <c r="J472" s="61">
        <v>0</v>
      </c>
      <c r="K472" s="61">
        <v>0</v>
      </c>
      <c r="L472" s="61">
        <v>0</v>
      </c>
      <c r="M472" s="61">
        <v>0</v>
      </c>
      <c r="N472" s="68">
        <v>2</v>
      </c>
      <c r="O472" s="61">
        <v>0</v>
      </c>
      <c r="P472" s="61">
        <v>0</v>
      </c>
      <c r="Q472" s="61">
        <v>56</v>
      </c>
      <c r="R472" s="61">
        <v>0</v>
      </c>
      <c r="S472" s="68">
        <v>24</v>
      </c>
      <c r="T472" s="61">
        <v>32</v>
      </c>
      <c r="U472" s="31"/>
    </row>
    <row r="473" ht="15.75" customHeight="1">
      <c r="A473" s="47"/>
      <c r="B473" s="55"/>
      <c r="C473" s="66"/>
      <c r="D473" s="65" t="s">
        <v>388</v>
      </c>
      <c r="E473" s="55"/>
      <c r="F473" s="69"/>
      <c r="G473" s="69"/>
      <c r="H473" s="70"/>
      <c r="I473" s="69"/>
      <c r="J473" s="69"/>
      <c r="K473" s="69"/>
      <c r="L473" s="69"/>
      <c r="M473" s="69"/>
      <c r="N473" s="70"/>
      <c r="O473" s="69"/>
      <c r="P473" s="69"/>
      <c r="Q473" s="69"/>
      <c r="R473" s="69"/>
      <c r="S473" s="70"/>
      <c r="T473" s="69"/>
      <c r="U473" s="31"/>
    </row>
    <row r="474" ht="15.75" customHeight="1">
      <c r="A474" s="47"/>
      <c r="B474" s="55"/>
      <c r="C474" s="64" t="s">
        <v>389</v>
      </c>
      <c r="D474" s="65" t="s">
        <v>390</v>
      </c>
      <c r="E474" s="55"/>
      <c r="F474" s="61">
        <v>16</v>
      </c>
      <c r="G474" s="61">
        <v>16</v>
      </c>
      <c r="H474" s="68">
        <v>2</v>
      </c>
      <c r="I474" s="61">
        <v>24</v>
      </c>
      <c r="J474" s="61">
        <v>0</v>
      </c>
      <c r="K474" s="61">
        <v>0</v>
      </c>
      <c r="L474" s="61">
        <v>0</v>
      </c>
      <c r="M474" s="61">
        <v>0</v>
      </c>
      <c r="N474" s="68">
        <v>2</v>
      </c>
      <c r="O474" s="61">
        <v>0</v>
      </c>
      <c r="P474" s="61">
        <v>0</v>
      </c>
      <c r="Q474" s="61">
        <v>60</v>
      </c>
      <c r="R474" s="61">
        <v>0</v>
      </c>
      <c r="S474" s="68">
        <v>24</v>
      </c>
      <c r="T474" s="61">
        <v>42</v>
      </c>
      <c r="U474" s="31"/>
    </row>
    <row r="475" ht="15.75" customHeight="1">
      <c r="A475" s="46"/>
      <c r="B475" s="57"/>
      <c r="C475" s="66"/>
      <c r="D475" s="65" t="s">
        <v>391</v>
      </c>
      <c r="E475" s="46"/>
      <c r="F475" s="62"/>
      <c r="G475" s="62"/>
      <c r="H475" s="63"/>
      <c r="I475" s="62"/>
      <c r="J475" s="62"/>
      <c r="K475" s="62"/>
      <c r="L475" s="62"/>
      <c r="M475" s="62"/>
      <c r="N475" s="63"/>
      <c r="O475" s="62"/>
      <c r="P475" s="62"/>
      <c r="Q475" s="62"/>
      <c r="R475" s="62"/>
      <c r="S475" s="63"/>
      <c r="T475" s="62"/>
      <c r="U475" s="31"/>
    </row>
    <row r="476" ht="17.25" customHeight="1">
      <c r="A476" s="48" t="s">
        <v>204</v>
      </c>
      <c r="B476" s="49"/>
      <c r="C476" s="58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50"/>
      <c r="U476" s="31"/>
    </row>
    <row r="477" ht="15.75" customHeight="1">
      <c r="A477" s="41" t="s">
        <v>153</v>
      </c>
      <c r="B477" s="44" t="s">
        <v>205</v>
      </c>
      <c r="C477" s="42" t="s">
        <v>36</v>
      </c>
      <c r="D477" s="43" t="s">
        <v>206</v>
      </c>
      <c r="E477" s="44" t="s">
        <v>207</v>
      </c>
      <c r="F477" s="52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4"/>
      <c r="U477" s="31"/>
    </row>
    <row r="478" ht="15.75" customHeight="1">
      <c r="A478" s="47"/>
      <c r="B478" s="44" t="s">
        <v>231</v>
      </c>
      <c r="C478" s="42"/>
      <c r="D478" s="43" t="s">
        <v>392</v>
      </c>
      <c r="E478" s="44" t="s">
        <v>233</v>
      </c>
      <c r="F478" s="5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56"/>
      <c r="U478" s="31"/>
    </row>
    <row r="479" ht="15.75" customHeight="1">
      <c r="A479" s="47"/>
      <c r="B479" s="44"/>
      <c r="C479" s="42"/>
      <c r="D479" s="43" t="s">
        <v>393</v>
      </c>
      <c r="E479" s="44"/>
      <c r="F479" s="57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9"/>
      <c r="U479" s="31"/>
    </row>
    <row r="480" ht="15.75" customHeight="1">
      <c r="A480" s="47"/>
      <c r="B480" s="44"/>
      <c r="C480" s="42"/>
      <c r="D480" s="43" t="s">
        <v>235</v>
      </c>
      <c r="E480" s="44" t="s">
        <v>213</v>
      </c>
      <c r="F480" s="52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4"/>
      <c r="U480" s="31"/>
    </row>
    <row r="481" ht="15.75" customHeight="1">
      <c r="A481" s="46"/>
      <c r="B481" s="44"/>
      <c r="C481" s="42"/>
      <c r="D481" s="43"/>
      <c r="E481" s="44" t="s">
        <v>214</v>
      </c>
      <c r="F481" s="57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9"/>
      <c r="U481" s="31"/>
    </row>
    <row r="482" ht="15.75" customHeight="1">
      <c r="A482" s="41"/>
      <c r="B482" s="41">
        <v>1</v>
      </c>
      <c r="C482" s="42" t="s">
        <v>36</v>
      </c>
      <c r="D482" s="43" t="s">
        <v>394</v>
      </c>
      <c r="E482" s="41" t="s">
        <v>160</v>
      </c>
      <c r="F482" s="44">
        <v>0</v>
      </c>
      <c r="G482" s="44">
        <v>0</v>
      </c>
      <c r="H482" s="45">
        <v>0</v>
      </c>
      <c r="I482" s="44">
        <v>0</v>
      </c>
      <c r="J482" s="44">
        <v>0</v>
      </c>
      <c r="K482" s="44">
        <v>0</v>
      </c>
      <c r="L482" s="44">
        <v>0</v>
      </c>
      <c r="M482" s="44">
        <v>0</v>
      </c>
      <c r="N482" s="45">
        <v>2</v>
      </c>
      <c r="O482" s="44">
        <v>0</v>
      </c>
      <c r="P482" s="44">
        <v>0</v>
      </c>
      <c r="Q482" s="44">
        <v>34</v>
      </c>
      <c r="R482" s="44">
        <v>0</v>
      </c>
      <c r="S482" s="45">
        <v>0</v>
      </c>
      <c r="T482" s="44">
        <v>0</v>
      </c>
      <c r="U482" s="31"/>
    </row>
    <row r="483" ht="15.75" customHeight="1">
      <c r="A483" s="47"/>
      <c r="B483" s="46"/>
      <c r="C483" s="42"/>
      <c r="D483" s="43" t="s">
        <v>237</v>
      </c>
      <c r="E483" s="46"/>
      <c r="F483" s="44"/>
      <c r="G483" s="44"/>
      <c r="H483" s="45"/>
      <c r="I483" s="44"/>
      <c r="J483" s="44"/>
      <c r="K483" s="44"/>
      <c r="L483" s="44"/>
      <c r="M483" s="44"/>
      <c r="N483" s="45"/>
      <c r="O483" s="44"/>
      <c r="P483" s="44"/>
      <c r="Q483" s="44"/>
      <c r="R483" s="44"/>
      <c r="S483" s="45"/>
      <c r="T483" s="44"/>
      <c r="U483" s="31"/>
    </row>
    <row r="484" ht="15.75" customHeight="1">
      <c r="A484" s="47"/>
      <c r="B484" s="41">
        <v>1</v>
      </c>
      <c r="C484" s="42" t="s">
        <v>36</v>
      </c>
      <c r="D484" s="43" t="s">
        <v>395</v>
      </c>
      <c r="E484" s="41" t="s">
        <v>160</v>
      </c>
      <c r="F484" s="44">
        <v>0</v>
      </c>
      <c r="G484" s="44">
        <v>0</v>
      </c>
      <c r="H484" s="45">
        <v>0</v>
      </c>
      <c r="I484" s="44">
        <v>0</v>
      </c>
      <c r="J484" s="44">
        <v>0</v>
      </c>
      <c r="K484" s="44">
        <v>0</v>
      </c>
      <c r="L484" s="44">
        <v>0</v>
      </c>
      <c r="M484" s="44">
        <v>0</v>
      </c>
      <c r="N484" s="45">
        <v>2</v>
      </c>
      <c r="O484" s="44">
        <v>0</v>
      </c>
      <c r="P484" s="44">
        <v>0</v>
      </c>
      <c r="Q484" s="44">
        <v>34</v>
      </c>
      <c r="R484" s="44">
        <v>0</v>
      </c>
      <c r="S484" s="45">
        <v>0</v>
      </c>
      <c r="T484" s="44">
        <v>0</v>
      </c>
      <c r="U484" s="31"/>
    </row>
    <row r="485" ht="15.75" customHeight="1">
      <c r="A485" s="46"/>
      <c r="B485" s="46"/>
      <c r="C485" s="42"/>
      <c r="D485" s="43" t="s">
        <v>239</v>
      </c>
      <c r="E485" s="46"/>
      <c r="F485" s="44"/>
      <c r="G485" s="44"/>
      <c r="H485" s="45"/>
      <c r="I485" s="44"/>
      <c r="J485" s="44"/>
      <c r="K485" s="44"/>
      <c r="L485" s="44"/>
      <c r="M485" s="44"/>
      <c r="N485" s="45"/>
      <c r="O485" s="44"/>
      <c r="P485" s="44"/>
      <c r="Q485" s="44"/>
      <c r="R485" s="44"/>
      <c r="S485" s="45"/>
      <c r="T485" s="44"/>
      <c r="U485" s="31"/>
    </row>
    <row r="486" ht="15.75" customHeight="1">
      <c r="A486" s="41" t="s">
        <v>153</v>
      </c>
      <c r="B486" s="44" t="s">
        <v>205</v>
      </c>
      <c r="C486" s="42" t="s">
        <v>36</v>
      </c>
      <c r="D486" s="43" t="s">
        <v>206</v>
      </c>
      <c r="E486" s="44" t="s">
        <v>207</v>
      </c>
      <c r="F486" s="52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4"/>
      <c r="U486" s="31"/>
    </row>
    <row r="487" ht="15.75" customHeight="1">
      <c r="A487" s="47"/>
      <c r="B487" s="44" t="s">
        <v>208</v>
      </c>
      <c r="C487" s="42"/>
      <c r="D487" s="43" t="s">
        <v>396</v>
      </c>
      <c r="E487" s="44" t="s">
        <v>210</v>
      </c>
      <c r="F487" s="5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56"/>
      <c r="U487" s="31"/>
    </row>
    <row r="488" ht="15.75" customHeight="1">
      <c r="A488" s="47"/>
      <c r="B488" s="44"/>
      <c r="C488" s="42"/>
      <c r="D488" s="43" t="s">
        <v>397</v>
      </c>
      <c r="E488" s="44"/>
      <c r="F488" s="57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9"/>
      <c r="U488" s="31"/>
    </row>
    <row r="489" ht="15.75" customHeight="1">
      <c r="A489" s="47"/>
      <c r="B489" s="44"/>
      <c r="C489" s="42"/>
      <c r="D489" s="43" t="s">
        <v>212</v>
      </c>
      <c r="E489" s="44" t="s">
        <v>213</v>
      </c>
      <c r="F489" s="52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4"/>
      <c r="U489" s="31"/>
    </row>
    <row r="490" ht="15.75" customHeight="1">
      <c r="A490" s="46"/>
      <c r="B490" s="44"/>
      <c r="C490" s="42"/>
      <c r="D490" s="43"/>
      <c r="E490" s="44" t="s">
        <v>214</v>
      </c>
      <c r="F490" s="57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9"/>
      <c r="U490" s="31"/>
    </row>
    <row r="491" ht="15.75" customHeight="1">
      <c r="A491" s="41"/>
      <c r="B491" s="41">
        <v>2</v>
      </c>
      <c r="C491" s="42" t="s">
        <v>36</v>
      </c>
      <c r="D491" s="43" t="s">
        <v>398</v>
      </c>
      <c r="E491" s="41" t="s">
        <v>160</v>
      </c>
      <c r="F491" s="44">
        <v>0</v>
      </c>
      <c r="G491" s="44">
        <v>0</v>
      </c>
      <c r="H491" s="45">
        <v>0</v>
      </c>
      <c r="I491" s="44">
        <v>0</v>
      </c>
      <c r="J491" s="44">
        <v>0</v>
      </c>
      <c r="K491" s="44">
        <v>0</v>
      </c>
      <c r="L491" s="44">
        <v>0</v>
      </c>
      <c r="M491" s="44">
        <v>0</v>
      </c>
      <c r="N491" s="45">
        <v>2</v>
      </c>
      <c r="O491" s="44">
        <v>0</v>
      </c>
      <c r="P491" s="44">
        <v>0</v>
      </c>
      <c r="Q491" s="44">
        <v>70</v>
      </c>
      <c r="R491" s="44">
        <v>0</v>
      </c>
      <c r="S491" s="45">
        <v>0</v>
      </c>
      <c r="T491" s="44">
        <v>0</v>
      </c>
      <c r="U491" s="31"/>
    </row>
    <row r="492" ht="15.75" customHeight="1">
      <c r="A492" s="47"/>
      <c r="B492" s="46"/>
      <c r="C492" s="42"/>
      <c r="D492" s="43" t="s">
        <v>216</v>
      </c>
      <c r="E492" s="46"/>
      <c r="F492" s="44"/>
      <c r="G492" s="44"/>
      <c r="H492" s="45"/>
      <c r="I492" s="44"/>
      <c r="J492" s="44"/>
      <c r="K492" s="44"/>
      <c r="L492" s="44"/>
      <c r="M492" s="44"/>
      <c r="N492" s="45"/>
      <c r="O492" s="44"/>
      <c r="P492" s="44"/>
      <c r="Q492" s="44"/>
      <c r="R492" s="44"/>
      <c r="S492" s="45"/>
      <c r="T492" s="44"/>
      <c r="U492" s="31"/>
    </row>
    <row r="493" ht="15.75" customHeight="1">
      <c r="A493" s="47"/>
      <c r="B493" s="41">
        <v>2</v>
      </c>
      <c r="C493" s="42" t="s">
        <v>36</v>
      </c>
      <c r="D493" s="43" t="s">
        <v>399</v>
      </c>
      <c r="E493" s="41" t="s">
        <v>160</v>
      </c>
      <c r="F493" s="44">
        <v>0</v>
      </c>
      <c r="G493" s="44">
        <v>0</v>
      </c>
      <c r="H493" s="45">
        <v>0</v>
      </c>
      <c r="I493" s="44">
        <v>0</v>
      </c>
      <c r="J493" s="44">
        <v>0</v>
      </c>
      <c r="K493" s="44">
        <v>0</v>
      </c>
      <c r="L493" s="44">
        <v>0</v>
      </c>
      <c r="M493" s="44">
        <v>0</v>
      </c>
      <c r="N493" s="45">
        <v>2</v>
      </c>
      <c r="O493" s="44">
        <v>0</v>
      </c>
      <c r="P493" s="44">
        <v>0</v>
      </c>
      <c r="Q493" s="44">
        <v>70</v>
      </c>
      <c r="R493" s="44">
        <v>0</v>
      </c>
      <c r="S493" s="45">
        <v>0</v>
      </c>
      <c r="T493" s="44">
        <v>0</v>
      </c>
      <c r="U493" s="31"/>
    </row>
    <row r="494" ht="15.75" customHeight="1">
      <c r="A494" s="47"/>
      <c r="B494" s="46"/>
      <c r="C494" s="42"/>
      <c r="D494" s="43" t="s">
        <v>218</v>
      </c>
      <c r="E494" s="46"/>
      <c r="F494" s="44"/>
      <c r="G494" s="44"/>
      <c r="H494" s="45"/>
      <c r="I494" s="44"/>
      <c r="J494" s="44"/>
      <c r="K494" s="44"/>
      <c r="L494" s="44"/>
      <c r="M494" s="44"/>
      <c r="N494" s="45"/>
      <c r="O494" s="44"/>
      <c r="P494" s="44"/>
      <c r="Q494" s="44"/>
      <c r="R494" s="44"/>
      <c r="S494" s="45"/>
      <c r="T494" s="44"/>
      <c r="U494" s="31"/>
    </row>
    <row r="495" ht="15.75" customHeight="1">
      <c r="A495" s="47"/>
      <c r="B495" s="41">
        <v>1</v>
      </c>
      <c r="C495" s="42" t="s">
        <v>36</v>
      </c>
      <c r="D495" s="43" t="s">
        <v>400</v>
      </c>
      <c r="E495" s="41" t="s">
        <v>160</v>
      </c>
      <c r="F495" s="44">
        <v>0</v>
      </c>
      <c r="G495" s="44">
        <v>0</v>
      </c>
      <c r="H495" s="45">
        <v>0</v>
      </c>
      <c r="I495" s="44">
        <v>0</v>
      </c>
      <c r="J495" s="44">
        <v>0</v>
      </c>
      <c r="K495" s="44">
        <v>0</v>
      </c>
      <c r="L495" s="44">
        <v>0</v>
      </c>
      <c r="M495" s="44">
        <v>0</v>
      </c>
      <c r="N495" s="45">
        <v>2</v>
      </c>
      <c r="O495" s="44">
        <v>0</v>
      </c>
      <c r="P495" s="44">
        <v>0</v>
      </c>
      <c r="Q495" s="44">
        <v>34</v>
      </c>
      <c r="R495" s="44">
        <v>0</v>
      </c>
      <c r="S495" s="45">
        <v>0</v>
      </c>
      <c r="T495" s="44">
        <v>0</v>
      </c>
      <c r="U495" s="31"/>
    </row>
    <row r="496" ht="15.75" customHeight="1">
      <c r="A496" s="47"/>
      <c r="B496" s="46"/>
      <c r="C496" s="42"/>
      <c r="D496" s="43" t="s">
        <v>220</v>
      </c>
      <c r="E496" s="46"/>
      <c r="F496" s="44"/>
      <c r="G496" s="44"/>
      <c r="H496" s="45"/>
      <c r="I496" s="44"/>
      <c r="J496" s="44"/>
      <c r="K496" s="44"/>
      <c r="L496" s="44"/>
      <c r="M496" s="44"/>
      <c r="N496" s="45"/>
      <c r="O496" s="44"/>
      <c r="P496" s="44"/>
      <c r="Q496" s="44"/>
      <c r="R496" s="44"/>
      <c r="S496" s="45"/>
      <c r="T496" s="44"/>
      <c r="U496" s="31"/>
    </row>
    <row r="497" ht="15.75" customHeight="1">
      <c r="A497" s="47"/>
      <c r="B497" s="41">
        <v>1</v>
      </c>
      <c r="C497" s="42" t="s">
        <v>36</v>
      </c>
      <c r="D497" s="43" t="s">
        <v>401</v>
      </c>
      <c r="E497" s="41" t="s">
        <v>160</v>
      </c>
      <c r="F497" s="44">
        <v>0</v>
      </c>
      <c r="G497" s="44">
        <v>0</v>
      </c>
      <c r="H497" s="45">
        <v>0</v>
      </c>
      <c r="I497" s="44">
        <v>0</v>
      </c>
      <c r="J497" s="44">
        <v>0</v>
      </c>
      <c r="K497" s="44">
        <v>0</v>
      </c>
      <c r="L497" s="44">
        <v>0</v>
      </c>
      <c r="M497" s="44">
        <v>0</v>
      </c>
      <c r="N497" s="45">
        <v>2</v>
      </c>
      <c r="O497" s="44">
        <v>0</v>
      </c>
      <c r="P497" s="44">
        <v>0</v>
      </c>
      <c r="Q497" s="44">
        <v>34</v>
      </c>
      <c r="R497" s="44">
        <v>0</v>
      </c>
      <c r="S497" s="45">
        <v>0</v>
      </c>
      <c r="T497" s="44">
        <v>0</v>
      </c>
      <c r="U497" s="31"/>
    </row>
    <row r="498" ht="15.75" customHeight="1">
      <c r="A498" s="47"/>
      <c r="B498" s="46"/>
      <c r="C498" s="42"/>
      <c r="D498" s="43" t="s">
        <v>222</v>
      </c>
      <c r="E498" s="46"/>
      <c r="F498" s="44"/>
      <c r="G498" s="44"/>
      <c r="H498" s="45"/>
      <c r="I498" s="44"/>
      <c r="J498" s="44"/>
      <c r="K498" s="44"/>
      <c r="L498" s="44"/>
      <c r="M498" s="44"/>
      <c r="N498" s="45"/>
      <c r="O498" s="44"/>
      <c r="P498" s="44"/>
      <c r="Q498" s="44"/>
      <c r="R498" s="44"/>
      <c r="S498" s="45"/>
      <c r="T498" s="44"/>
      <c r="U498" s="31"/>
    </row>
    <row r="499" ht="15.75" customHeight="1">
      <c r="A499" s="47"/>
      <c r="B499" s="41">
        <v>1</v>
      </c>
      <c r="C499" s="42" t="s">
        <v>36</v>
      </c>
      <c r="D499" s="43" t="s">
        <v>402</v>
      </c>
      <c r="E499" s="41" t="s">
        <v>160</v>
      </c>
      <c r="F499" s="44">
        <v>0</v>
      </c>
      <c r="G499" s="44">
        <v>0</v>
      </c>
      <c r="H499" s="45">
        <v>0</v>
      </c>
      <c r="I499" s="44">
        <v>0</v>
      </c>
      <c r="J499" s="44">
        <v>0</v>
      </c>
      <c r="K499" s="44">
        <v>0</v>
      </c>
      <c r="L499" s="44">
        <v>0</v>
      </c>
      <c r="M499" s="44">
        <v>0</v>
      </c>
      <c r="N499" s="45">
        <v>2</v>
      </c>
      <c r="O499" s="44">
        <v>0</v>
      </c>
      <c r="P499" s="44">
        <v>0</v>
      </c>
      <c r="Q499" s="44">
        <v>34</v>
      </c>
      <c r="R499" s="44">
        <v>0</v>
      </c>
      <c r="S499" s="45">
        <v>0</v>
      </c>
      <c r="T499" s="44">
        <v>0</v>
      </c>
      <c r="U499" s="31"/>
    </row>
    <row r="500" ht="15.75" customHeight="1">
      <c r="A500" s="47"/>
      <c r="B500" s="46"/>
      <c r="C500" s="42"/>
      <c r="D500" s="43" t="s">
        <v>224</v>
      </c>
      <c r="E500" s="46"/>
      <c r="F500" s="44"/>
      <c r="G500" s="44"/>
      <c r="H500" s="45"/>
      <c r="I500" s="44"/>
      <c r="J500" s="44"/>
      <c r="K500" s="44"/>
      <c r="L500" s="44"/>
      <c r="M500" s="44"/>
      <c r="N500" s="45"/>
      <c r="O500" s="44"/>
      <c r="P500" s="44"/>
      <c r="Q500" s="44"/>
      <c r="R500" s="44"/>
      <c r="S500" s="45"/>
      <c r="T500" s="44"/>
      <c r="U500" s="31"/>
    </row>
    <row r="501" ht="15.75" customHeight="1">
      <c r="A501" s="47"/>
      <c r="B501" s="41">
        <v>1</v>
      </c>
      <c r="C501" s="42" t="s">
        <v>36</v>
      </c>
      <c r="D501" s="43" t="s">
        <v>403</v>
      </c>
      <c r="E501" s="41" t="s">
        <v>160</v>
      </c>
      <c r="F501" s="44">
        <v>0</v>
      </c>
      <c r="G501" s="44">
        <v>0</v>
      </c>
      <c r="H501" s="45">
        <v>0</v>
      </c>
      <c r="I501" s="44">
        <v>0</v>
      </c>
      <c r="J501" s="44">
        <v>0</v>
      </c>
      <c r="K501" s="44">
        <v>0</v>
      </c>
      <c r="L501" s="44">
        <v>0</v>
      </c>
      <c r="M501" s="44">
        <v>0</v>
      </c>
      <c r="N501" s="45">
        <v>2</v>
      </c>
      <c r="O501" s="44">
        <v>0</v>
      </c>
      <c r="P501" s="44">
        <v>0</v>
      </c>
      <c r="Q501" s="44">
        <v>34</v>
      </c>
      <c r="R501" s="44">
        <v>0</v>
      </c>
      <c r="S501" s="45">
        <v>0</v>
      </c>
      <c r="T501" s="44">
        <v>0</v>
      </c>
      <c r="U501" s="31"/>
    </row>
    <row r="502" ht="15.75" customHeight="1">
      <c r="A502" s="47"/>
      <c r="B502" s="46"/>
      <c r="C502" s="42"/>
      <c r="D502" s="43" t="s">
        <v>226</v>
      </c>
      <c r="E502" s="46"/>
      <c r="F502" s="44"/>
      <c r="G502" s="44"/>
      <c r="H502" s="45"/>
      <c r="I502" s="44"/>
      <c r="J502" s="44"/>
      <c r="K502" s="44"/>
      <c r="L502" s="44"/>
      <c r="M502" s="44"/>
      <c r="N502" s="45"/>
      <c r="O502" s="44"/>
      <c r="P502" s="44"/>
      <c r="Q502" s="44"/>
      <c r="R502" s="44"/>
      <c r="S502" s="45"/>
      <c r="T502" s="44"/>
      <c r="U502" s="31"/>
    </row>
    <row r="503" ht="15.75" customHeight="1">
      <c r="A503" s="47"/>
      <c r="B503" s="41">
        <v>1</v>
      </c>
      <c r="C503" s="42" t="s">
        <v>36</v>
      </c>
      <c r="D503" s="43" t="s">
        <v>404</v>
      </c>
      <c r="E503" s="41" t="s">
        <v>160</v>
      </c>
      <c r="F503" s="44">
        <v>0</v>
      </c>
      <c r="G503" s="44">
        <v>0</v>
      </c>
      <c r="H503" s="45">
        <v>0</v>
      </c>
      <c r="I503" s="44">
        <v>0</v>
      </c>
      <c r="J503" s="44">
        <v>0</v>
      </c>
      <c r="K503" s="44">
        <v>0</v>
      </c>
      <c r="L503" s="44">
        <v>0</v>
      </c>
      <c r="M503" s="44">
        <v>0</v>
      </c>
      <c r="N503" s="45">
        <v>2</v>
      </c>
      <c r="O503" s="44">
        <v>0</v>
      </c>
      <c r="P503" s="44">
        <v>0</v>
      </c>
      <c r="Q503" s="44">
        <v>34</v>
      </c>
      <c r="R503" s="44">
        <v>0</v>
      </c>
      <c r="S503" s="45">
        <v>0</v>
      </c>
      <c r="T503" s="44">
        <v>0</v>
      </c>
      <c r="U503" s="31"/>
    </row>
    <row r="504" ht="15.75" customHeight="1">
      <c r="A504" s="46"/>
      <c r="B504" s="46"/>
      <c r="C504" s="42"/>
      <c r="D504" s="43" t="s">
        <v>228</v>
      </c>
      <c r="E504" s="46"/>
      <c r="F504" s="44"/>
      <c r="G504" s="44"/>
      <c r="H504" s="45"/>
      <c r="I504" s="44"/>
      <c r="J504" s="44"/>
      <c r="K504" s="44"/>
      <c r="L504" s="44"/>
      <c r="M504" s="44"/>
      <c r="N504" s="45"/>
      <c r="O504" s="44"/>
      <c r="P504" s="44"/>
      <c r="Q504" s="44"/>
      <c r="R504" s="44"/>
      <c r="S504" s="45"/>
      <c r="T504" s="44"/>
      <c r="U504" s="31"/>
    </row>
    <row r="505" ht="17.25" customHeight="1">
      <c r="A505" s="39" t="s">
        <v>405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6"/>
      <c r="U505" s="31"/>
    </row>
    <row r="506" ht="17.25" customHeight="1">
      <c r="A506" s="40" t="s">
        <v>152</v>
      </c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6"/>
      <c r="U506" s="31"/>
    </row>
    <row r="507" ht="15.75" customHeight="1">
      <c r="A507" s="41" t="s">
        <v>153</v>
      </c>
      <c r="B507" s="41">
        <f>SUM(F507:S507)/36</f>
        <v>3</v>
      </c>
      <c r="C507" s="42" t="s">
        <v>406</v>
      </c>
      <c r="D507" s="43" t="s">
        <v>407</v>
      </c>
      <c r="E507" s="41" t="s">
        <v>169</v>
      </c>
      <c r="F507" s="44">
        <v>28</v>
      </c>
      <c r="G507" s="44">
        <v>0</v>
      </c>
      <c r="H507" s="45">
        <v>2</v>
      </c>
      <c r="I507" s="44">
        <v>0</v>
      </c>
      <c r="J507" s="44">
        <v>0</v>
      </c>
      <c r="K507" s="44">
        <v>0</v>
      </c>
      <c r="L507" s="44">
        <v>0</v>
      </c>
      <c r="M507" s="44">
        <v>0</v>
      </c>
      <c r="N507" s="45">
        <v>2</v>
      </c>
      <c r="O507" s="44">
        <v>0</v>
      </c>
      <c r="P507" s="44">
        <v>0</v>
      </c>
      <c r="Q507" s="44">
        <v>52</v>
      </c>
      <c r="R507" s="44">
        <v>0</v>
      </c>
      <c r="S507" s="45">
        <v>24</v>
      </c>
      <c r="T507" s="44">
        <v>2</v>
      </c>
      <c r="U507" s="31"/>
    </row>
    <row r="508" ht="15.75" customHeight="1">
      <c r="A508" s="46"/>
      <c r="B508" s="46"/>
      <c r="C508" s="42"/>
      <c r="D508" s="43" t="s">
        <v>408</v>
      </c>
      <c r="E508" s="46"/>
      <c r="F508" s="44"/>
      <c r="G508" s="44"/>
      <c r="H508" s="45"/>
      <c r="I508" s="44"/>
      <c r="J508" s="44"/>
      <c r="K508" s="44"/>
      <c r="L508" s="44"/>
      <c r="M508" s="44"/>
      <c r="N508" s="45"/>
      <c r="O508" s="44"/>
      <c r="P508" s="44"/>
      <c r="Q508" s="44"/>
      <c r="R508" s="44"/>
      <c r="S508" s="45"/>
      <c r="T508" s="44"/>
      <c r="U508" s="31"/>
    </row>
    <row r="509" ht="15.75" customHeight="1">
      <c r="A509" s="41" t="s">
        <v>153</v>
      </c>
      <c r="B509" s="41">
        <f>SUM(F509:S509)/36</f>
        <v>2</v>
      </c>
      <c r="C509" s="42" t="s">
        <v>409</v>
      </c>
      <c r="D509" s="43" t="s">
        <v>410</v>
      </c>
      <c r="E509" s="41" t="s">
        <v>160</v>
      </c>
      <c r="F509" s="44">
        <v>10</v>
      </c>
      <c r="G509" s="44">
        <v>10</v>
      </c>
      <c r="H509" s="45">
        <v>0</v>
      </c>
      <c r="I509" s="44">
        <v>10</v>
      </c>
      <c r="J509" s="44">
        <v>0</v>
      </c>
      <c r="K509" s="44">
        <v>0</v>
      </c>
      <c r="L509" s="44">
        <v>0</v>
      </c>
      <c r="M509" s="44">
        <v>0</v>
      </c>
      <c r="N509" s="45">
        <v>2</v>
      </c>
      <c r="O509" s="44">
        <v>0</v>
      </c>
      <c r="P509" s="44">
        <v>0</v>
      </c>
      <c r="Q509" s="44">
        <v>33</v>
      </c>
      <c r="R509" s="44">
        <v>0</v>
      </c>
      <c r="S509" s="45">
        <v>7</v>
      </c>
      <c r="T509" s="44">
        <v>20</v>
      </c>
      <c r="U509" s="31"/>
    </row>
    <row r="510" ht="15.75" customHeight="1">
      <c r="A510" s="46"/>
      <c r="B510" s="46"/>
      <c r="C510" s="42"/>
      <c r="D510" s="43" t="s">
        <v>411</v>
      </c>
      <c r="E510" s="46"/>
      <c r="F510" s="44"/>
      <c r="G510" s="44"/>
      <c r="H510" s="45"/>
      <c r="I510" s="44"/>
      <c r="J510" s="44"/>
      <c r="K510" s="44"/>
      <c r="L510" s="44"/>
      <c r="M510" s="44"/>
      <c r="N510" s="45"/>
      <c r="O510" s="44"/>
      <c r="P510" s="44"/>
      <c r="Q510" s="44"/>
      <c r="R510" s="44"/>
      <c r="S510" s="45"/>
      <c r="T510" s="44"/>
      <c r="U510" s="31"/>
    </row>
    <row r="511" ht="15.75" customHeight="1">
      <c r="A511" s="41" t="s">
        <v>153</v>
      </c>
      <c r="B511" s="41">
        <f>SUM(F511:S511)/36</f>
        <v>4</v>
      </c>
      <c r="C511" s="42" t="s">
        <v>412</v>
      </c>
      <c r="D511" s="43" t="s">
        <v>413</v>
      </c>
      <c r="E511" s="41" t="s">
        <v>169</v>
      </c>
      <c r="F511" s="44">
        <v>30</v>
      </c>
      <c r="G511" s="44">
        <v>0</v>
      </c>
      <c r="H511" s="45">
        <v>2</v>
      </c>
      <c r="I511" s="44">
        <v>24</v>
      </c>
      <c r="J511" s="44">
        <v>0</v>
      </c>
      <c r="K511" s="44">
        <v>6</v>
      </c>
      <c r="L511" s="44">
        <v>0</v>
      </c>
      <c r="M511" s="44">
        <v>0</v>
      </c>
      <c r="N511" s="45">
        <v>2</v>
      </c>
      <c r="O511" s="44">
        <v>0</v>
      </c>
      <c r="P511" s="44">
        <v>0</v>
      </c>
      <c r="Q511" s="44">
        <v>56</v>
      </c>
      <c r="R511" s="44">
        <v>0</v>
      </c>
      <c r="S511" s="45">
        <v>24</v>
      </c>
      <c r="T511" s="44">
        <v>24</v>
      </c>
      <c r="U511" s="31"/>
    </row>
    <row r="512" ht="15.75" customHeight="1">
      <c r="A512" s="46"/>
      <c r="B512" s="46"/>
      <c r="C512" s="42"/>
      <c r="D512" s="43" t="s">
        <v>414</v>
      </c>
      <c r="E512" s="46"/>
      <c r="F512" s="44"/>
      <c r="G512" s="44"/>
      <c r="H512" s="45"/>
      <c r="I512" s="44"/>
      <c r="J512" s="44"/>
      <c r="K512" s="44"/>
      <c r="L512" s="44"/>
      <c r="M512" s="44"/>
      <c r="N512" s="45"/>
      <c r="O512" s="44"/>
      <c r="P512" s="44"/>
      <c r="Q512" s="44"/>
      <c r="R512" s="44"/>
      <c r="S512" s="45"/>
      <c r="T512" s="44"/>
      <c r="U512" s="31"/>
    </row>
    <row r="513" ht="15.75" customHeight="1">
      <c r="A513" s="41" t="s">
        <v>153</v>
      </c>
      <c r="B513" s="41">
        <f>SUM(F513:S513)/36</f>
        <v>1</v>
      </c>
      <c r="C513" s="42" t="s">
        <v>317</v>
      </c>
      <c r="D513" s="43" t="s">
        <v>415</v>
      </c>
      <c r="E513" s="41" t="s">
        <v>160</v>
      </c>
      <c r="F513" s="44">
        <v>0</v>
      </c>
      <c r="G513" s="44">
        <v>0</v>
      </c>
      <c r="H513" s="45">
        <v>10</v>
      </c>
      <c r="I513" s="44">
        <v>0</v>
      </c>
      <c r="J513" s="44">
        <v>0</v>
      </c>
      <c r="K513" s="44">
        <v>0</v>
      </c>
      <c r="L513" s="44">
        <v>0</v>
      </c>
      <c r="M513" s="44">
        <v>0</v>
      </c>
      <c r="N513" s="45">
        <v>2</v>
      </c>
      <c r="O513" s="44">
        <v>0</v>
      </c>
      <c r="P513" s="44">
        <v>0</v>
      </c>
      <c r="Q513" s="44">
        <v>24</v>
      </c>
      <c r="R513" s="44">
        <v>0</v>
      </c>
      <c r="S513" s="45">
        <v>0</v>
      </c>
      <c r="T513" s="44">
        <v>0</v>
      </c>
      <c r="U513" s="31"/>
    </row>
    <row r="514" ht="15.75" customHeight="1">
      <c r="A514" s="46"/>
      <c r="B514" s="46"/>
      <c r="C514" s="42"/>
      <c r="D514" s="43" t="s">
        <v>416</v>
      </c>
      <c r="E514" s="46"/>
      <c r="F514" s="44"/>
      <c r="G514" s="44"/>
      <c r="H514" s="45"/>
      <c r="I514" s="44"/>
      <c r="J514" s="44"/>
      <c r="K514" s="44"/>
      <c r="L514" s="44"/>
      <c r="M514" s="44"/>
      <c r="N514" s="45"/>
      <c r="O514" s="44"/>
      <c r="P514" s="44"/>
      <c r="Q514" s="44"/>
      <c r="R514" s="44"/>
      <c r="S514" s="45"/>
      <c r="T514" s="44"/>
      <c r="U514" s="31"/>
    </row>
    <row r="515" ht="15.75" customHeight="1">
      <c r="A515" s="41" t="s">
        <v>153</v>
      </c>
      <c r="B515" s="41">
        <f>SUM(F515:S515)/36</f>
        <v>1</v>
      </c>
      <c r="C515" s="42" t="s">
        <v>60</v>
      </c>
      <c r="D515" s="43" t="s">
        <v>417</v>
      </c>
      <c r="E515" s="41" t="s">
        <v>160</v>
      </c>
      <c r="F515" s="44">
        <v>0</v>
      </c>
      <c r="G515" s="44">
        <v>0</v>
      </c>
      <c r="H515" s="45">
        <v>0</v>
      </c>
      <c r="I515" s="44">
        <v>0</v>
      </c>
      <c r="J515" s="44">
        <v>0</v>
      </c>
      <c r="K515" s="44">
        <v>0</v>
      </c>
      <c r="L515" s="44">
        <v>0</v>
      </c>
      <c r="M515" s="44">
        <v>0</v>
      </c>
      <c r="N515" s="45">
        <v>2</v>
      </c>
      <c r="O515" s="44">
        <v>0</v>
      </c>
      <c r="P515" s="44">
        <v>0</v>
      </c>
      <c r="Q515" s="44">
        <v>20</v>
      </c>
      <c r="R515" s="44">
        <v>0</v>
      </c>
      <c r="S515" s="45">
        <v>14</v>
      </c>
      <c r="T515" s="44">
        <v>36</v>
      </c>
      <c r="U515" s="31"/>
    </row>
    <row r="516" ht="15.75" customHeight="1">
      <c r="A516" s="46"/>
      <c r="B516" s="46"/>
      <c r="C516" s="42"/>
      <c r="D516" s="43" t="s">
        <v>418</v>
      </c>
      <c r="E516" s="46"/>
      <c r="F516" s="44"/>
      <c r="G516" s="44"/>
      <c r="H516" s="45"/>
      <c r="I516" s="44"/>
      <c r="J516" s="44"/>
      <c r="K516" s="44"/>
      <c r="L516" s="44"/>
      <c r="M516" s="44"/>
      <c r="N516" s="45"/>
      <c r="O516" s="44"/>
      <c r="P516" s="44"/>
      <c r="Q516" s="44"/>
      <c r="R516" s="44"/>
      <c r="S516" s="45"/>
      <c r="T516" s="44"/>
      <c r="U516" s="31"/>
    </row>
    <row r="517" ht="15.75" customHeight="1">
      <c r="A517" s="41" t="s">
        <v>248</v>
      </c>
      <c r="B517" s="41">
        <f>SUM(F517:S517)/36</f>
        <v>5</v>
      </c>
      <c r="C517" s="42" t="s">
        <v>419</v>
      </c>
      <c r="D517" s="43" t="s">
        <v>420</v>
      </c>
      <c r="E517" s="41" t="s">
        <v>160</v>
      </c>
      <c r="F517" s="44">
        <v>0</v>
      </c>
      <c r="G517" s="44">
        <v>0</v>
      </c>
      <c r="H517" s="45">
        <v>0</v>
      </c>
      <c r="I517" s="44">
        <v>0</v>
      </c>
      <c r="J517" s="44">
        <v>0</v>
      </c>
      <c r="K517" s="44">
        <v>0</v>
      </c>
      <c r="L517" s="44">
        <v>0</v>
      </c>
      <c r="M517" s="44">
        <v>0</v>
      </c>
      <c r="N517" s="45">
        <v>2</v>
      </c>
      <c r="O517" s="44">
        <v>16</v>
      </c>
      <c r="P517" s="44">
        <v>8</v>
      </c>
      <c r="Q517" s="44">
        <v>144</v>
      </c>
      <c r="R517" s="44">
        <v>0</v>
      </c>
      <c r="S517" s="45">
        <v>10</v>
      </c>
      <c r="T517" s="44">
        <v>0</v>
      </c>
      <c r="U517" s="31"/>
    </row>
    <row r="518" ht="15.75" customHeight="1">
      <c r="A518" s="46"/>
      <c r="B518" s="46"/>
      <c r="C518" s="42"/>
      <c r="D518" s="43" t="s">
        <v>421</v>
      </c>
      <c r="E518" s="46"/>
      <c r="F518" s="44"/>
      <c r="G518" s="44"/>
      <c r="H518" s="45"/>
      <c r="I518" s="44"/>
      <c r="J518" s="44"/>
      <c r="K518" s="44"/>
      <c r="L518" s="44"/>
      <c r="M518" s="44"/>
      <c r="N518" s="45"/>
      <c r="O518" s="44"/>
      <c r="P518" s="44"/>
      <c r="Q518" s="44"/>
      <c r="R518" s="44"/>
      <c r="S518" s="45"/>
      <c r="T518" s="44"/>
      <c r="U518" s="31"/>
    </row>
    <row r="519" ht="17.25" customHeight="1">
      <c r="A519" s="60" t="s">
        <v>245</v>
      </c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50"/>
      <c r="U519" s="31"/>
    </row>
    <row r="520" ht="15.75" customHeight="1">
      <c r="A520" s="41" t="s">
        <v>153</v>
      </c>
      <c r="B520" s="41">
        <f>SUM(F520:S520)/36</f>
        <v>4</v>
      </c>
      <c r="C520" s="42" t="s">
        <v>272</v>
      </c>
      <c r="D520" s="43" t="s">
        <v>422</v>
      </c>
      <c r="E520" s="41" t="s">
        <v>156</v>
      </c>
      <c r="F520" s="44">
        <v>30</v>
      </c>
      <c r="G520" s="44">
        <v>0</v>
      </c>
      <c r="H520" s="45">
        <v>2</v>
      </c>
      <c r="I520" s="44">
        <v>30</v>
      </c>
      <c r="J520" s="44">
        <v>0</v>
      </c>
      <c r="K520" s="44">
        <v>0</v>
      </c>
      <c r="L520" s="44">
        <v>0</v>
      </c>
      <c r="M520" s="44">
        <v>0</v>
      </c>
      <c r="N520" s="45">
        <v>4</v>
      </c>
      <c r="O520" s="44">
        <v>0</v>
      </c>
      <c r="P520" s="44">
        <v>0</v>
      </c>
      <c r="Q520" s="44">
        <v>47</v>
      </c>
      <c r="R520" s="44">
        <v>0</v>
      </c>
      <c r="S520" s="45">
        <v>31</v>
      </c>
      <c r="T520" s="44">
        <v>32</v>
      </c>
      <c r="U520" s="31"/>
    </row>
    <row r="521" ht="15.75" customHeight="1">
      <c r="A521" s="46"/>
      <c r="B521" s="46"/>
      <c r="C521" s="42"/>
      <c r="D521" s="43" t="s">
        <v>423</v>
      </c>
      <c r="E521" s="46"/>
      <c r="F521" s="44"/>
      <c r="G521" s="44"/>
      <c r="H521" s="45"/>
      <c r="I521" s="44"/>
      <c r="J521" s="44"/>
      <c r="K521" s="44"/>
      <c r="L521" s="44"/>
      <c r="M521" s="44"/>
      <c r="N521" s="45"/>
      <c r="O521" s="44"/>
      <c r="P521" s="44"/>
      <c r="Q521" s="44"/>
      <c r="R521" s="44"/>
      <c r="S521" s="45"/>
      <c r="T521" s="44"/>
      <c r="U521" s="31"/>
    </row>
    <row r="522" ht="15.75" customHeight="1">
      <c r="A522" s="41" t="s">
        <v>153</v>
      </c>
      <c r="B522" s="41">
        <f>SUM(F522:S522)/36</f>
        <v>3</v>
      </c>
      <c r="C522" s="42" t="s">
        <v>424</v>
      </c>
      <c r="D522" s="43" t="s">
        <v>425</v>
      </c>
      <c r="E522" s="41" t="s">
        <v>160</v>
      </c>
      <c r="F522" s="44">
        <v>14</v>
      </c>
      <c r="G522" s="44">
        <v>14</v>
      </c>
      <c r="H522" s="45">
        <v>0</v>
      </c>
      <c r="I522" s="44">
        <v>30</v>
      </c>
      <c r="J522" s="44">
        <v>0</v>
      </c>
      <c r="K522" s="44">
        <v>0</v>
      </c>
      <c r="L522" s="44">
        <v>0</v>
      </c>
      <c r="M522" s="44">
        <v>0</v>
      </c>
      <c r="N522" s="45">
        <v>2</v>
      </c>
      <c r="O522" s="44">
        <v>0</v>
      </c>
      <c r="P522" s="44">
        <v>0</v>
      </c>
      <c r="Q522" s="44">
        <v>41</v>
      </c>
      <c r="R522" s="44">
        <v>0</v>
      </c>
      <c r="S522" s="45">
        <v>7</v>
      </c>
      <c r="T522" s="44">
        <v>42</v>
      </c>
      <c r="U522" s="31"/>
    </row>
    <row r="523" ht="15.75" customHeight="1">
      <c r="A523" s="46"/>
      <c r="B523" s="46"/>
      <c r="C523" s="42"/>
      <c r="D523" s="43" t="s">
        <v>426</v>
      </c>
      <c r="E523" s="46"/>
      <c r="F523" s="44"/>
      <c r="G523" s="44"/>
      <c r="H523" s="45"/>
      <c r="I523" s="44"/>
      <c r="J523" s="44"/>
      <c r="K523" s="44"/>
      <c r="L523" s="44"/>
      <c r="M523" s="44"/>
      <c r="N523" s="45"/>
      <c r="O523" s="44"/>
      <c r="P523" s="44"/>
      <c r="Q523" s="44"/>
      <c r="R523" s="44"/>
      <c r="S523" s="45"/>
      <c r="T523" s="44"/>
      <c r="U523" s="31"/>
    </row>
    <row r="524" ht="15.75" customHeight="1">
      <c r="A524" s="41" t="s">
        <v>153</v>
      </c>
      <c r="B524" s="41">
        <f>SUM(F524:S524)/36</f>
        <v>3</v>
      </c>
      <c r="C524" s="42" t="s">
        <v>154</v>
      </c>
      <c r="D524" s="43" t="s">
        <v>427</v>
      </c>
      <c r="E524" s="41" t="s">
        <v>169</v>
      </c>
      <c r="F524" s="44">
        <v>44</v>
      </c>
      <c r="G524" s="44">
        <v>0</v>
      </c>
      <c r="H524" s="45">
        <v>2</v>
      </c>
      <c r="I524" s="44">
        <v>0</v>
      </c>
      <c r="J524" s="44">
        <v>0</v>
      </c>
      <c r="K524" s="44">
        <v>0</v>
      </c>
      <c r="L524" s="44">
        <v>0</v>
      </c>
      <c r="M524" s="44">
        <v>0</v>
      </c>
      <c r="N524" s="45">
        <v>2</v>
      </c>
      <c r="O524" s="44">
        <v>0</v>
      </c>
      <c r="P524" s="44">
        <v>0</v>
      </c>
      <c r="Q524" s="44">
        <v>36</v>
      </c>
      <c r="R524" s="44">
        <v>0</v>
      </c>
      <c r="S524" s="45">
        <v>24</v>
      </c>
      <c r="T524" s="44">
        <v>4</v>
      </c>
      <c r="U524" s="31"/>
    </row>
    <row r="525" ht="15.75" customHeight="1">
      <c r="A525" s="46"/>
      <c r="B525" s="46"/>
      <c r="C525" s="42"/>
      <c r="D525" s="43" t="s">
        <v>428</v>
      </c>
      <c r="E525" s="46"/>
      <c r="F525" s="44"/>
      <c r="G525" s="44"/>
      <c r="H525" s="45"/>
      <c r="I525" s="44"/>
      <c r="J525" s="44"/>
      <c r="K525" s="44"/>
      <c r="L525" s="44"/>
      <c r="M525" s="44"/>
      <c r="N525" s="45"/>
      <c r="O525" s="44"/>
      <c r="P525" s="44"/>
      <c r="Q525" s="44"/>
      <c r="R525" s="44"/>
      <c r="S525" s="45"/>
      <c r="T525" s="44"/>
      <c r="U525" s="31"/>
    </row>
    <row r="526" ht="17.25" customHeight="1">
      <c r="A526" s="60" t="s">
        <v>247</v>
      </c>
      <c r="B526" s="49"/>
      <c r="C526" s="49"/>
      <c r="D526" s="49"/>
      <c r="E526" s="49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4"/>
      <c r="U526" s="31"/>
    </row>
    <row r="527" ht="15.75" customHeight="1">
      <c r="A527" s="41" t="s">
        <v>153</v>
      </c>
      <c r="B527" s="41">
        <f>SUM(F527:S527)/36</f>
        <v>4</v>
      </c>
      <c r="C527" s="42" t="s">
        <v>429</v>
      </c>
      <c r="D527" s="43" t="s">
        <v>430</v>
      </c>
      <c r="E527" s="52" t="s">
        <v>169</v>
      </c>
      <c r="F527" s="61">
        <v>12</v>
      </c>
      <c r="G527" s="61">
        <v>0</v>
      </c>
      <c r="H527" s="68">
        <v>2</v>
      </c>
      <c r="I527" s="61">
        <v>28</v>
      </c>
      <c r="J527" s="61">
        <v>0</v>
      </c>
      <c r="K527" s="61">
        <v>0</v>
      </c>
      <c r="L527" s="61">
        <v>0</v>
      </c>
      <c r="M527" s="61">
        <v>0</v>
      </c>
      <c r="N527" s="68">
        <v>2</v>
      </c>
      <c r="O527" s="61">
        <v>0</v>
      </c>
      <c r="P527" s="61">
        <v>0</v>
      </c>
      <c r="Q527" s="61">
        <v>86</v>
      </c>
      <c r="R527" s="61">
        <v>0</v>
      </c>
      <c r="S527" s="68">
        <v>14</v>
      </c>
      <c r="T527" s="61">
        <v>30</v>
      </c>
      <c r="U527" s="31"/>
    </row>
    <row r="528" ht="15.75" customHeight="1">
      <c r="A528" s="46"/>
      <c r="B528" s="46"/>
      <c r="C528" s="42"/>
      <c r="D528" s="43" t="s">
        <v>431</v>
      </c>
      <c r="E528" s="57"/>
      <c r="F528" s="69"/>
      <c r="G528" s="69"/>
      <c r="H528" s="70"/>
      <c r="I528" s="69"/>
      <c r="J528" s="69"/>
      <c r="K528" s="69"/>
      <c r="L528" s="69"/>
      <c r="M528" s="69"/>
      <c r="N528" s="70"/>
      <c r="O528" s="69"/>
      <c r="P528" s="69"/>
      <c r="Q528" s="69"/>
      <c r="R528" s="69"/>
      <c r="S528" s="70"/>
      <c r="T528" s="69"/>
      <c r="U528" s="31"/>
    </row>
    <row r="529" ht="15.75" customHeight="1">
      <c r="A529" s="41" t="s">
        <v>153</v>
      </c>
      <c r="B529" s="41">
        <f>SUM(F529:S529)/36</f>
        <v>3</v>
      </c>
      <c r="C529" s="42" t="s">
        <v>432</v>
      </c>
      <c r="D529" s="43" t="s">
        <v>433</v>
      </c>
      <c r="E529" s="52" t="s">
        <v>251</v>
      </c>
      <c r="F529" s="61">
        <v>16</v>
      </c>
      <c r="G529" s="61">
        <v>18</v>
      </c>
      <c r="H529" s="68">
        <v>0</v>
      </c>
      <c r="I529" s="61">
        <v>24</v>
      </c>
      <c r="J529" s="61">
        <v>0</v>
      </c>
      <c r="K529" s="61">
        <v>0</v>
      </c>
      <c r="L529" s="61">
        <v>0</v>
      </c>
      <c r="M529" s="61">
        <v>0</v>
      </c>
      <c r="N529" s="68">
        <v>2</v>
      </c>
      <c r="O529" s="61">
        <v>0</v>
      </c>
      <c r="P529" s="61">
        <v>0</v>
      </c>
      <c r="Q529" s="61">
        <v>41</v>
      </c>
      <c r="R529" s="61">
        <v>0</v>
      </c>
      <c r="S529" s="68">
        <v>7</v>
      </c>
      <c r="T529" s="61">
        <v>42</v>
      </c>
      <c r="U529" s="31"/>
    </row>
    <row r="530" ht="15.75" customHeight="1">
      <c r="A530" s="46"/>
      <c r="B530" s="46"/>
      <c r="C530" s="42"/>
      <c r="D530" s="43" t="s">
        <v>434</v>
      </c>
      <c r="E530" s="57"/>
      <c r="F530" s="69"/>
      <c r="G530" s="69"/>
      <c r="H530" s="70"/>
      <c r="I530" s="69"/>
      <c r="J530" s="69"/>
      <c r="K530" s="69"/>
      <c r="L530" s="69"/>
      <c r="M530" s="69"/>
      <c r="N530" s="70"/>
      <c r="O530" s="69"/>
      <c r="P530" s="69"/>
      <c r="Q530" s="69"/>
      <c r="R530" s="69"/>
      <c r="S530" s="70"/>
      <c r="T530" s="69"/>
      <c r="U530" s="31"/>
    </row>
    <row r="531" ht="15.75" customHeight="1">
      <c r="A531" s="41" t="s">
        <v>153</v>
      </c>
      <c r="B531" s="41">
        <f>SUM(F531:S531)/36</f>
        <v>3</v>
      </c>
      <c r="C531" s="42" t="s">
        <v>372</v>
      </c>
      <c r="D531" s="43" t="s">
        <v>373</v>
      </c>
      <c r="E531" s="52" t="s">
        <v>160</v>
      </c>
      <c r="F531" s="61">
        <v>20</v>
      </c>
      <c r="G531" s="61">
        <v>20</v>
      </c>
      <c r="H531" s="68">
        <v>0</v>
      </c>
      <c r="I531" s="61">
        <v>20</v>
      </c>
      <c r="J531" s="61">
        <v>0</v>
      </c>
      <c r="K531" s="61">
        <v>0</v>
      </c>
      <c r="L531" s="61">
        <v>0</v>
      </c>
      <c r="M531" s="61">
        <v>0</v>
      </c>
      <c r="N531" s="68">
        <v>2</v>
      </c>
      <c r="O531" s="61">
        <v>0</v>
      </c>
      <c r="P531" s="61">
        <v>0</v>
      </c>
      <c r="Q531" s="61">
        <v>39</v>
      </c>
      <c r="R531" s="61">
        <v>0</v>
      </c>
      <c r="S531" s="68">
        <v>7</v>
      </c>
      <c r="T531" s="61">
        <v>40</v>
      </c>
      <c r="U531" s="31"/>
    </row>
    <row r="532" ht="15.75" customHeight="1">
      <c r="A532" s="46"/>
      <c r="B532" s="46"/>
      <c r="C532" s="42"/>
      <c r="D532" s="43"/>
      <c r="E532" s="46"/>
      <c r="F532" s="62"/>
      <c r="G532" s="62"/>
      <c r="H532" s="63"/>
      <c r="I532" s="62"/>
      <c r="J532" s="62"/>
      <c r="K532" s="62"/>
      <c r="L532" s="62"/>
      <c r="M532" s="62"/>
      <c r="N532" s="63"/>
      <c r="O532" s="62"/>
      <c r="P532" s="62"/>
      <c r="Q532" s="62"/>
      <c r="R532" s="62"/>
      <c r="S532" s="63"/>
      <c r="T532" s="62"/>
      <c r="U532" s="31"/>
    </row>
    <row r="533" ht="17.25" customHeight="1">
      <c r="A533" s="40" t="s">
        <v>202</v>
      </c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6"/>
      <c r="U533" s="31"/>
    </row>
    <row r="534" ht="17.25" customHeight="1">
      <c r="A534" s="60" t="s">
        <v>245</v>
      </c>
      <c r="B534" s="49"/>
      <c r="C534" s="53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50"/>
      <c r="U534" s="31"/>
    </row>
    <row r="535" ht="15.75" customHeight="1">
      <c r="A535" s="41" t="s">
        <v>153</v>
      </c>
      <c r="B535" s="52">
        <v>4</v>
      </c>
      <c r="C535" s="64" t="s">
        <v>435</v>
      </c>
      <c r="D535" s="65" t="s">
        <v>436</v>
      </c>
      <c r="E535" s="41" t="s">
        <v>169</v>
      </c>
      <c r="F535" s="44">
        <v>14</v>
      </c>
      <c r="G535" s="44">
        <v>14</v>
      </c>
      <c r="H535" s="45">
        <v>2</v>
      </c>
      <c r="I535" s="44">
        <v>28</v>
      </c>
      <c r="J535" s="44">
        <v>0</v>
      </c>
      <c r="K535" s="44">
        <v>0</v>
      </c>
      <c r="L535" s="44">
        <v>0</v>
      </c>
      <c r="M535" s="44">
        <v>0</v>
      </c>
      <c r="N535" s="45">
        <v>2</v>
      </c>
      <c r="O535" s="44">
        <v>0</v>
      </c>
      <c r="P535" s="44">
        <v>0</v>
      </c>
      <c r="Q535" s="44">
        <v>60</v>
      </c>
      <c r="R535" s="44">
        <v>0</v>
      </c>
      <c r="S535" s="45">
        <v>24</v>
      </c>
      <c r="T535" s="44">
        <v>44</v>
      </c>
      <c r="U535" s="31"/>
    </row>
    <row r="536" ht="15.75" customHeight="1">
      <c r="A536" s="47"/>
      <c r="B536" s="55"/>
      <c r="C536" s="66"/>
      <c r="D536" s="65" t="s">
        <v>437</v>
      </c>
      <c r="E536" s="47"/>
      <c r="F536" s="44"/>
      <c r="G536" s="44"/>
      <c r="H536" s="45"/>
      <c r="I536" s="44"/>
      <c r="J536" s="44"/>
      <c r="K536" s="44"/>
      <c r="L536" s="44"/>
      <c r="M536" s="44"/>
      <c r="N536" s="45"/>
      <c r="O536" s="44"/>
      <c r="P536" s="44"/>
      <c r="Q536" s="44"/>
      <c r="R536" s="44"/>
      <c r="S536" s="45"/>
      <c r="T536" s="44"/>
      <c r="U536" s="31"/>
    </row>
    <row r="537" ht="15.75" customHeight="1">
      <c r="A537" s="47"/>
      <c r="B537" s="55"/>
      <c r="C537" s="64" t="s">
        <v>332</v>
      </c>
      <c r="D537" s="65" t="s">
        <v>370</v>
      </c>
      <c r="E537" s="47"/>
      <c r="F537" s="44">
        <v>28</v>
      </c>
      <c r="G537" s="44">
        <v>0</v>
      </c>
      <c r="H537" s="45">
        <v>2</v>
      </c>
      <c r="I537" s="44">
        <v>28</v>
      </c>
      <c r="J537" s="44">
        <v>0</v>
      </c>
      <c r="K537" s="44">
        <v>0</v>
      </c>
      <c r="L537" s="44">
        <v>0</v>
      </c>
      <c r="M537" s="44">
        <v>0</v>
      </c>
      <c r="N537" s="45">
        <v>2</v>
      </c>
      <c r="O537" s="44">
        <v>0</v>
      </c>
      <c r="P537" s="44">
        <v>0</v>
      </c>
      <c r="Q537" s="44">
        <v>60</v>
      </c>
      <c r="R537" s="44">
        <v>0</v>
      </c>
      <c r="S537" s="45">
        <v>24</v>
      </c>
      <c r="T537" s="44">
        <v>28</v>
      </c>
      <c r="U537" s="31"/>
    </row>
    <row r="538" ht="15.75" customHeight="1">
      <c r="A538" s="47"/>
      <c r="B538" s="55"/>
      <c r="C538" s="66"/>
      <c r="D538" s="65" t="s">
        <v>371</v>
      </c>
      <c r="E538" s="47"/>
      <c r="F538" s="44"/>
      <c r="G538" s="44"/>
      <c r="H538" s="45"/>
      <c r="I538" s="44"/>
      <c r="J538" s="44"/>
      <c r="K538" s="44"/>
      <c r="L538" s="44"/>
      <c r="M538" s="44"/>
      <c r="N538" s="45"/>
      <c r="O538" s="44"/>
      <c r="P538" s="44"/>
      <c r="Q538" s="44"/>
      <c r="R538" s="44"/>
      <c r="S538" s="45"/>
      <c r="T538" s="44"/>
      <c r="U538" s="31"/>
    </row>
    <row r="539" ht="15.75" customHeight="1">
      <c r="A539" s="47"/>
      <c r="B539" s="55"/>
      <c r="C539" s="64" t="s">
        <v>438</v>
      </c>
      <c r="D539" s="65" t="s">
        <v>439</v>
      </c>
      <c r="E539" s="47"/>
      <c r="F539" s="44">
        <v>14</v>
      </c>
      <c r="G539" s="44">
        <v>14</v>
      </c>
      <c r="H539" s="45">
        <v>2</v>
      </c>
      <c r="I539" s="44">
        <v>28</v>
      </c>
      <c r="J539" s="44">
        <v>0</v>
      </c>
      <c r="K539" s="44">
        <v>0</v>
      </c>
      <c r="L539" s="44">
        <v>0</v>
      </c>
      <c r="M539" s="44">
        <v>0</v>
      </c>
      <c r="N539" s="45">
        <v>2</v>
      </c>
      <c r="O539" s="44">
        <v>0</v>
      </c>
      <c r="P539" s="44">
        <v>0</v>
      </c>
      <c r="Q539" s="44">
        <v>60</v>
      </c>
      <c r="R539" s="44">
        <v>0</v>
      </c>
      <c r="S539" s="45">
        <v>24</v>
      </c>
      <c r="T539" s="44">
        <v>44</v>
      </c>
      <c r="U539" s="31"/>
    </row>
    <row r="540" ht="15.75" customHeight="1">
      <c r="A540" s="46"/>
      <c r="B540" s="57"/>
      <c r="C540" s="66"/>
      <c r="D540" s="65" t="s">
        <v>440</v>
      </c>
      <c r="E540" s="46"/>
      <c r="F540" s="44"/>
      <c r="G540" s="44"/>
      <c r="H540" s="45"/>
      <c r="I540" s="44"/>
      <c r="J540" s="44"/>
      <c r="K540" s="44"/>
      <c r="L540" s="44"/>
      <c r="M540" s="44"/>
      <c r="N540" s="45"/>
      <c r="O540" s="44"/>
      <c r="P540" s="44"/>
      <c r="Q540" s="44"/>
      <c r="R540" s="44"/>
      <c r="S540" s="45"/>
      <c r="T540" s="44"/>
      <c r="U540" s="31"/>
    </row>
    <row r="541" ht="17.25" customHeight="1">
      <c r="A541" s="60" t="s">
        <v>247</v>
      </c>
      <c r="B541" s="49"/>
      <c r="C541" s="67"/>
      <c r="D541" s="49"/>
      <c r="E541" s="49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4"/>
      <c r="U541" s="31"/>
    </row>
    <row r="542" ht="15.75" customHeight="1">
      <c r="A542" s="41" t="s">
        <v>153</v>
      </c>
      <c r="B542" s="52">
        <v>4</v>
      </c>
      <c r="C542" s="64" t="s">
        <v>441</v>
      </c>
      <c r="D542" s="65" t="s">
        <v>442</v>
      </c>
      <c r="E542" s="52" t="s">
        <v>169</v>
      </c>
      <c r="F542" s="61">
        <v>24</v>
      </c>
      <c r="G542" s="61">
        <v>16</v>
      </c>
      <c r="H542" s="68">
        <v>2</v>
      </c>
      <c r="I542" s="61">
        <v>16</v>
      </c>
      <c r="J542" s="61">
        <v>0</v>
      </c>
      <c r="K542" s="61">
        <v>0</v>
      </c>
      <c r="L542" s="61">
        <v>0</v>
      </c>
      <c r="M542" s="61">
        <v>0</v>
      </c>
      <c r="N542" s="68">
        <v>2</v>
      </c>
      <c r="O542" s="61">
        <v>0</v>
      </c>
      <c r="P542" s="61">
        <v>0</v>
      </c>
      <c r="Q542" s="61">
        <v>70</v>
      </c>
      <c r="R542" s="61">
        <v>0</v>
      </c>
      <c r="S542" s="68">
        <v>14</v>
      </c>
      <c r="T542" s="61">
        <v>34</v>
      </c>
      <c r="U542" s="31"/>
    </row>
    <row r="543" ht="15.75" customHeight="1">
      <c r="A543" s="47"/>
      <c r="B543" s="55"/>
      <c r="C543" s="66"/>
      <c r="D543" s="65" t="s">
        <v>443</v>
      </c>
      <c r="E543" s="55"/>
      <c r="F543" s="69"/>
      <c r="G543" s="69"/>
      <c r="H543" s="70"/>
      <c r="I543" s="69"/>
      <c r="J543" s="69"/>
      <c r="K543" s="69"/>
      <c r="L543" s="69"/>
      <c r="M543" s="69"/>
      <c r="N543" s="70"/>
      <c r="O543" s="69"/>
      <c r="P543" s="69"/>
      <c r="Q543" s="69"/>
      <c r="R543" s="69"/>
      <c r="S543" s="70"/>
      <c r="T543" s="69"/>
      <c r="U543" s="31"/>
    </row>
    <row r="544" ht="15.75" customHeight="1">
      <c r="A544" s="47"/>
      <c r="B544" s="55"/>
      <c r="C544" s="64" t="s">
        <v>441</v>
      </c>
      <c r="D544" s="65" t="s">
        <v>444</v>
      </c>
      <c r="E544" s="55"/>
      <c r="F544" s="61">
        <v>16</v>
      </c>
      <c r="G544" s="61">
        <v>16</v>
      </c>
      <c r="H544" s="68">
        <v>2</v>
      </c>
      <c r="I544" s="61">
        <v>24</v>
      </c>
      <c r="J544" s="61">
        <v>0</v>
      </c>
      <c r="K544" s="61">
        <v>0</v>
      </c>
      <c r="L544" s="61">
        <v>0</v>
      </c>
      <c r="M544" s="61">
        <v>0</v>
      </c>
      <c r="N544" s="68">
        <v>2</v>
      </c>
      <c r="O544" s="61">
        <v>0</v>
      </c>
      <c r="P544" s="61">
        <v>0</v>
      </c>
      <c r="Q544" s="61">
        <v>60</v>
      </c>
      <c r="R544" s="61">
        <v>0</v>
      </c>
      <c r="S544" s="68">
        <v>24</v>
      </c>
      <c r="T544" s="61">
        <v>40</v>
      </c>
      <c r="U544" s="31"/>
    </row>
    <row r="545" ht="15.75" customHeight="1">
      <c r="A545" s="47"/>
      <c r="B545" s="55"/>
      <c r="C545" s="66"/>
      <c r="D545" s="65" t="s">
        <v>445</v>
      </c>
      <c r="E545" s="55"/>
      <c r="F545" s="69"/>
      <c r="G545" s="69"/>
      <c r="H545" s="70"/>
      <c r="I545" s="69"/>
      <c r="J545" s="69"/>
      <c r="K545" s="69"/>
      <c r="L545" s="69"/>
      <c r="M545" s="69"/>
      <c r="N545" s="70"/>
      <c r="O545" s="69"/>
      <c r="P545" s="69"/>
      <c r="Q545" s="69"/>
      <c r="R545" s="69"/>
      <c r="S545" s="70"/>
      <c r="T545" s="69"/>
      <c r="U545" s="31"/>
    </row>
    <row r="546" ht="15.75" customHeight="1">
      <c r="A546" s="47"/>
      <c r="B546" s="55"/>
      <c r="C546" s="64" t="s">
        <v>441</v>
      </c>
      <c r="D546" s="65" t="s">
        <v>446</v>
      </c>
      <c r="E546" s="55"/>
      <c r="F546" s="61">
        <v>16</v>
      </c>
      <c r="G546" s="61">
        <v>16</v>
      </c>
      <c r="H546" s="68">
        <v>2</v>
      </c>
      <c r="I546" s="61">
        <v>24</v>
      </c>
      <c r="J546" s="61">
        <v>0</v>
      </c>
      <c r="K546" s="61">
        <v>0</v>
      </c>
      <c r="L546" s="61">
        <v>0</v>
      </c>
      <c r="M546" s="61">
        <v>0</v>
      </c>
      <c r="N546" s="68">
        <v>2</v>
      </c>
      <c r="O546" s="61">
        <v>0</v>
      </c>
      <c r="P546" s="61">
        <v>0</v>
      </c>
      <c r="Q546" s="61">
        <v>60</v>
      </c>
      <c r="R546" s="61">
        <v>0</v>
      </c>
      <c r="S546" s="68">
        <v>24</v>
      </c>
      <c r="T546" s="61">
        <v>40</v>
      </c>
      <c r="U546" s="31"/>
    </row>
    <row r="547" ht="15.75" customHeight="1">
      <c r="A547" s="46"/>
      <c r="B547" s="57"/>
      <c r="C547" s="66"/>
      <c r="D547" s="65" t="s">
        <v>447</v>
      </c>
      <c r="E547" s="46"/>
      <c r="F547" s="62"/>
      <c r="G547" s="62"/>
      <c r="H547" s="63"/>
      <c r="I547" s="62"/>
      <c r="J547" s="62"/>
      <c r="K547" s="62"/>
      <c r="L547" s="62"/>
      <c r="M547" s="62"/>
      <c r="N547" s="63"/>
      <c r="O547" s="62"/>
      <c r="P547" s="62"/>
      <c r="Q547" s="62"/>
      <c r="R547" s="62"/>
      <c r="S547" s="63"/>
      <c r="T547" s="62"/>
      <c r="U547" s="31"/>
    </row>
    <row r="548" ht="17.25" customHeight="1">
      <c r="A548" s="48" t="s">
        <v>204</v>
      </c>
      <c r="B548" s="49"/>
      <c r="C548" s="58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50"/>
      <c r="U548" s="31"/>
    </row>
    <row r="549" ht="15.75" customHeight="1">
      <c r="A549" s="41" t="s">
        <v>153</v>
      </c>
      <c r="B549" s="44" t="s">
        <v>205</v>
      </c>
      <c r="C549" s="42" t="s">
        <v>36</v>
      </c>
      <c r="D549" s="43" t="s">
        <v>206</v>
      </c>
      <c r="E549" s="44" t="s">
        <v>207</v>
      </c>
      <c r="F549" s="52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4"/>
      <c r="U549" s="31"/>
    </row>
    <row r="550" ht="15.75" customHeight="1">
      <c r="A550" s="47"/>
      <c r="B550" s="44" t="s">
        <v>208</v>
      </c>
      <c r="C550" s="42"/>
      <c r="D550" s="43" t="s">
        <v>448</v>
      </c>
      <c r="E550" s="44" t="s">
        <v>210</v>
      </c>
      <c r="F550" s="5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56"/>
      <c r="U550" s="31"/>
    </row>
    <row r="551" ht="15.75" customHeight="1">
      <c r="A551" s="47"/>
      <c r="B551" s="44"/>
      <c r="C551" s="42"/>
      <c r="D551" s="43" t="s">
        <v>449</v>
      </c>
      <c r="E551" s="44"/>
      <c r="F551" s="57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9"/>
      <c r="U551" s="31"/>
    </row>
    <row r="552" ht="15.75" customHeight="1">
      <c r="A552" s="47"/>
      <c r="B552" s="44"/>
      <c r="C552" s="42"/>
      <c r="D552" s="43" t="s">
        <v>212</v>
      </c>
      <c r="E552" s="44" t="s">
        <v>213</v>
      </c>
      <c r="F552" s="52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4"/>
      <c r="U552" s="31"/>
    </row>
    <row r="553" ht="15.75" customHeight="1">
      <c r="A553" s="46"/>
      <c r="B553" s="44"/>
      <c r="C553" s="42"/>
      <c r="D553" s="43"/>
      <c r="E553" s="44" t="s">
        <v>214</v>
      </c>
      <c r="F553" s="57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9"/>
      <c r="U553" s="31"/>
    </row>
    <row r="554" ht="15.75" customHeight="1">
      <c r="A554" s="41"/>
      <c r="B554" s="41">
        <v>2</v>
      </c>
      <c r="C554" s="42" t="s">
        <v>36</v>
      </c>
      <c r="D554" s="43" t="s">
        <v>450</v>
      </c>
      <c r="E554" s="41" t="s">
        <v>160</v>
      </c>
      <c r="F554" s="44">
        <v>0</v>
      </c>
      <c r="G554" s="44">
        <v>0</v>
      </c>
      <c r="H554" s="45">
        <v>0</v>
      </c>
      <c r="I554" s="44">
        <v>0</v>
      </c>
      <c r="J554" s="44">
        <v>0</v>
      </c>
      <c r="K554" s="44">
        <v>0</v>
      </c>
      <c r="L554" s="44">
        <v>0</v>
      </c>
      <c r="M554" s="44">
        <v>0</v>
      </c>
      <c r="N554" s="45">
        <v>2</v>
      </c>
      <c r="O554" s="44">
        <v>0</v>
      </c>
      <c r="P554" s="44">
        <v>0</v>
      </c>
      <c r="Q554" s="44">
        <v>70</v>
      </c>
      <c r="R554" s="44">
        <v>0</v>
      </c>
      <c r="S554" s="45">
        <v>0</v>
      </c>
      <c r="T554" s="44">
        <v>0</v>
      </c>
      <c r="U554" s="31"/>
    </row>
    <row r="555" ht="15.75" customHeight="1">
      <c r="A555" s="47"/>
      <c r="B555" s="46"/>
      <c r="C555" s="42"/>
      <c r="D555" s="43" t="s">
        <v>216</v>
      </c>
      <c r="E555" s="46"/>
      <c r="F555" s="44"/>
      <c r="G555" s="44"/>
      <c r="H555" s="45"/>
      <c r="I555" s="44"/>
      <c r="J555" s="44"/>
      <c r="K555" s="44"/>
      <c r="L555" s="44"/>
      <c r="M555" s="44"/>
      <c r="N555" s="45"/>
      <c r="O555" s="44"/>
      <c r="P555" s="44"/>
      <c r="Q555" s="44"/>
      <c r="R555" s="44"/>
      <c r="S555" s="45"/>
      <c r="T555" s="44"/>
      <c r="U555" s="31"/>
    </row>
    <row r="556" ht="15.75" customHeight="1">
      <c r="A556" s="47"/>
      <c r="B556" s="41">
        <v>2</v>
      </c>
      <c r="C556" s="42" t="s">
        <v>36</v>
      </c>
      <c r="D556" s="43" t="s">
        <v>451</v>
      </c>
      <c r="E556" s="41" t="s">
        <v>160</v>
      </c>
      <c r="F556" s="44">
        <v>0</v>
      </c>
      <c r="G556" s="44">
        <v>0</v>
      </c>
      <c r="H556" s="45">
        <v>0</v>
      </c>
      <c r="I556" s="44">
        <v>0</v>
      </c>
      <c r="J556" s="44">
        <v>0</v>
      </c>
      <c r="K556" s="44">
        <v>0</v>
      </c>
      <c r="L556" s="44">
        <v>0</v>
      </c>
      <c r="M556" s="44">
        <v>0</v>
      </c>
      <c r="N556" s="45">
        <v>2</v>
      </c>
      <c r="O556" s="44">
        <v>0</v>
      </c>
      <c r="P556" s="44">
        <v>0</v>
      </c>
      <c r="Q556" s="44">
        <v>70</v>
      </c>
      <c r="R556" s="44">
        <v>0</v>
      </c>
      <c r="S556" s="45">
        <v>0</v>
      </c>
      <c r="T556" s="44">
        <v>0</v>
      </c>
      <c r="U556" s="31"/>
    </row>
    <row r="557" ht="15.75" customHeight="1">
      <c r="A557" s="47"/>
      <c r="B557" s="46"/>
      <c r="C557" s="42"/>
      <c r="D557" s="43" t="s">
        <v>218</v>
      </c>
      <c r="E557" s="46"/>
      <c r="F557" s="44"/>
      <c r="G557" s="44"/>
      <c r="H557" s="45"/>
      <c r="I557" s="44"/>
      <c r="J557" s="44"/>
      <c r="K557" s="44"/>
      <c r="L557" s="44"/>
      <c r="M557" s="44"/>
      <c r="N557" s="45"/>
      <c r="O557" s="44"/>
      <c r="P557" s="44"/>
      <c r="Q557" s="44"/>
      <c r="R557" s="44"/>
      <c r="S557" s="45"/>
      <c r="T557" s="44"/>
      <c r="U557" s="31"/>
    </row>
    <row r="558" ht="15.75" customHeight="1">
      <c r="A558" s="47"/>
      <c r="B558" s="41">
        <v>1</v>
      </c>
      <c r="C558" s="42" t="s">
        <v>36</v>
      </c>
      <c r="D558" s="43" t="s">
        <v>452</v>
      </c>
      <c r="E558" s="41" t="s">
        <v>160</v>
      </c>
      <c r="F558" s="44">
        <v>0</v>
      </c>
      <c r="G558" s="44">
        <v>0</v>
      </c>
      <c r="H558" s="45">
        <v>0</v>
      </c>
      <c r="I558" s="44">
        <v>0</v>
      </c>
      <c r="J558" s="44">
        <v>0</v>
      </c>
      <c r="K558" s="44">
        <v>0</v>
      </c>
      <c r="L558" s="44">
        <v>0</v>
      </c>
      <c r="M558" s="44">
        <v>0</v>
      </c>
      <c r="N558" s="45">
        <v>2</v>
      </c>
      <c r="O558" s="44">
        <v>0</v>
      </c>
      <c r="P558" s="44">
        <v>0</v>
      </c>
      <c r="Q558" s="44">
        <v>34</v>
      </c>
      <c r="R558" s="44">
        <v>0</v>
      </c>
      <c r="S558" s="45">
        <v>0</v>
      </c>
      <c r="T558" s="44">
        <v>0</v>
      </c>
      <c r="U558" s="31"/>
    </row>
    <row r="559" ht="15.75" customHeight="1">
      <c r="A559" s="47"/>
      <c r="B559" s="46"/>
      <c r="C559" s="42"/>
      <c r="D559" s="43" t="s">
        <v>220</v>
      </c>
      <c r="E559" s="46"/>
      <c r="F559" s="44"/>
      <c r="G559" s="44"/>
      <c r="H559" s="45"/>
      <c r="I559" s="44"/>
      <c r="J559" s="44"/>
      <c r="K559" s="44"/>
      <c r="L559" s="44"/>
      <c r="M559" s="44"/>
      <c r="N559" s="45"/>
      <c r="O559" s="44"/>
      <c r="P559" s="44"/>
      <c r="Q559" s="44"/>
      <c r="R559" s="44"/>
      <c r="S559" s="45"/>
      <c r="T559" s="44"/>
      <c r="U559" s="31"/>
    </row>
    <row r="560" ht="15.75" customHeight="1">
      <c r="A560" s="47"/>
      <c r="B560" s="41">
        <v>1</v>
      </c>
      <c r="C560" s="42" t="s">
        <v>36</v>
      </c>
      <c r="D560" s="43" t="s">
        <v>453</v>
      </c>
      <c r="E560" s="41" t="s">
        <v>160</v>
      </c>
      <c r="F560" s="44">
        <v>0</v>
      </c>
      <c r="G560" s="44">
        <v>0</v>
      </c>
      <c r="H560" s="45">
        <v>0</v>
      </c>
      <c r="I560" s="44">
        <v>0</v>
      </c>
      <c r="J560" s="44">
        <v>0</v>
      </c>
      <c r="K560" s="44">
        <v>0</v>
      </c>
      <c r="L560" s="44">
        <v>0</v>
      </c>
      <c r="M560" s="44">
        <v>0</v>
      </c>
      <c r="N560" s="45">
        <v>2</v>
      </c>
      <c r="O560" s="44">
        <v>0</v>
      </c>
      <c r="P560" s="44">
        <v>0</v>
      </c>
      <c r="Q560" s="44">
        <v>34</v>
      </c>
      <c r="R560" s="44">
        <v>0</v>
      </c>
      <c r="S560" s="45">
        <v>0</v>
      </c>
      <c r="T560" s="44">
        <v>0</v>
      </c>
      <c r="U560" s="31"/>
    </row>
    <row r="561" ht="15.75" customHeight="1">
      <c r="A561" s="47"/>
      <c r="B561" s="46"/>
      <c r="C561" s="42"/>
      <c r="D561" s="43" t="s">
        <v>222</v>
      </c>
      <c r="E561" s="46"/>
      <c r="F561" s="44"/>
      <c r="G561" s="44"/>
      <c r="H561" s="45"/>
      <c r="I561" s="44"/>
      <c r="J561" s="44"/>
      <c r="K561" s="44"/>
      <c r="L561" s="44"/>
      <c r="M561" s="44"/>
      <c r="N561" s="45"/>
      <c r="O561" s="44"/>
      <c r="P561" s="44"/>
      <c r="Q561" s="44"/>
      <c r="R561" s="44"/>
      <c r="S561" s="45"/>
      <c r="T561" s="44"/>
      <c r="U561" s="31"/>
    </row>
    <row r="562" ht="15.75" customHeight="1">
      <c r="A562" s="47"/>
      <c r="B562" s="41">
        <v>1</v>
      </c>
      <c r="C562" s="42" t="s">
        <v>36</v>
      </c>
      <c r="D562" s="43" t="s">
        <v>454</v>
      </c>
      <c r="E562" s="41" t="s">
        <v>160</v>
      </c>
      <c r="F562" s="44">
        <v>0</v>
      </c>
      <c r="G562" s="44">
        <v>0</v>
      </c>
      <c r="H562" s="45">
        <v>0</v>
      </c>
      <c r="I562" s="44">
        <v>0</v>
      </c>
      <c r="J562" s="44">
        <v>0</v>
      </c>
      <c r="K562" s="44">
        <v>0</v>
      </c>
      <c r="L562" s="44">
        <v>0</v>
      </c>
      <c r="M562" s="44">
        <v>0</v>
      </c>
      <c r="N562" s="45">
        <v>2</v>
      </c>
      <c r="O562" s="44">
        <v>0</v>
      </c>
      <c r="P562" s="44">
        <v>0</v>
      </c>
      <c r="Q562" s="44">
        <v>34</v>
      </c>
      <c r="R562" s="44">
        <v>0</v>
      </c>
      <c r="S562" s="45">
        <v>0</v>
      </c>
      <c r="T562" s="44">
        <v>0</v>
      </c>
      <c r="U562" s="31"/>
    </row>
    <row r="563" ht="15.75" customHeight="1">
      <c r="A563" s="47"/>
      <c r="B563" s="46"/>
      <c r="C563" s="42"/>
      <c r="D563" s="43" t="s">
        <v>224</v>
      </c>
      <c r="E563" s="46"/>
      <c r="F563" s="44"/>
      <c r="G563" s="44"/>
      <c r="H563" s="45"/>
      <c r="I563" s="44"/>
      <c r="J563" s="44"/>
      <c r="K563" s="44"/>
      <c r="L563" s="44"/>
      <c r="M563" s="44"/>
      <c r="N563" s="45"/>
      <c r="O563" s="44"/>
      <c r="P563" s="44"/>
      <c r="Q563" s="44"/>
      <c r="R563" s="44"/>
      <c r="S563" s="45"/>
      <c r="T563" s="44"/>
      <c r="U563" s="31"/>
    </row>
    <row r="564" ht="15.75" customHeight="1">
      <c r="A564" s="47"/>
      <c r="B564" s="41">
        <v>1</v>
      </c>
      <c r="C564" s="42" t="s">
        <v>36</v>
      </c>
      <c r="D564" s="43" t="s">
        <v>455</v>
      </c>
      <c r="E564" s="41" t="s">
        <v>160</v>
      </c>
      <c r="F564" s="44">
        <v>0</v>
      </c>
      <c r="G564" s="44">
        <v>0</v>
      </c>
      <c r="H564" s="45">
        <v>0</v>
      </c>
      <c r="I564" s="44">
        <v>0</v>
      </c>
      <c r="J564" s="44">
        <v>0</v>
      </c>
      <c r="K564" s="44">
        <v>0</v>
      </c>
      <c r="L564" s="44">
        <v>0</v>
      </c>
      <c r="M564" s="44">
        <v>0</v>
      </c>
      <c r="N564" s="45">
        <v>2</v>
      </c>
      <c r="O564" s="44">
        <v>0</v>
      </c>
      <c r="P564" s="44">
        <v>0</v>
      </c>
      <c r="Q564" s="44">
        <v>34</v>
      </c>
      <c r="R564" s="44">
        <v>0</v>
      </c>
      <c r="S564" s="45">
        <v>0</v>
      </c>
      <c r="T564" s="44">
        <v>0</v>
      </c>
      <c r="U564" s="31"/>
    </row>
    <row r="565" ht="15.75" customHeight="1">
      <c r="A565" s="47"/>
      <c r="B565" s="46"/>
      <c r="C565" s="42"/>
      <c r="D565" s="43" t="s">
        <v>226</v>
      </c>
      <c r="E565" s="46"/>
      <c r="F565" s="44"/>
      <c r="G565" s="44"/>
      <c r="H565" s="45"/>
      <c r="I565" s="44"/>
      <c r="J565" s="44"/>
      <c r="K565" s="44"/>
      <c r="L565" s="44"/>
      <c r="M565" s="44"/>
      <c r="N565" s="45"/>
      <c r="O565" s="44"/>
      <c r="P565" s="44"/>
      <c r="Q565" s="44"/>
      <c r="R565" s="44"/>
      <c r="S565" s="45"/>
      <c r="T565" s="44"/>
      <c r="U565" s="31"/>
    </row>
    <row r="566" ht="15.75" customHeight="1">
      <c r="A566" s="47"/>
      <c r="B566" s="41">
        <v>1</v>
      </c>
      <c r="C566" s="42" t="s">
        <v>36</v>
      </c>
      <c r="D566" s="43" t="s">
        <v>456</v>
      </c>
      <c r="E566" s="41" t="s">
        <v>160</v>
      </c>
      <c r="F566" s="44">
        <v>0</v>
      </c>
      <c r="G566" s="44">
        <v>0</v>
      </c>
      <c r="H566" s="45">
        <v>0</v>
      </c>
      <c r="I566" s="44">
        <v>0</v>
      </c>
      <c r="J566" s="44">
        <v>0</v>
      </c>
      <c r="K566" s="44">
        <v>0</v>
      </c>
      <c r="L566" s="44">
        <v>0</v>
      </c>
      <c r="M566" s="44">
        <v>0</v>
      </c>
      <c r="N566" s="45">
        <v>2</v>
      </c>
      <c r="O566" s="44">
        <v>0</v>
      </c>
      <c r="P566" s="44">
        <v>0</v>
      </c>
      <c r="Q566" s="44">
        <v>34</v>
      </c>
      <c r="R566" s="44">
        <v>0</v>
      </c>
      <c r="S566" s="45">
        <v>0</v>
      </c>
      <c r="T566" s="44">
        <v>0</v>
      </c>
      <c r="U566" s="31"/>
    </row>
    <row r="567" ht="15.75" customHeight="1">
      <c r="A567" s="46"/>
      <c r="B567" s="46"/>
      <c r="C567" s="42"/>
      <c r="D567" s="43" t="s">
        <v>228</v>
      </c>
      <c r="E567" s="46"/>
      <c r="F567" s="44"/>
      <c r="G567" s="44"/>
      <c r="H567" s="45"/>
      <c r="I567" s="44"/>
      <c r="J567" s="44"/>
      <c r="K567" s="44"/>
      <c r="L567" s="44"/>
      <c r="M567" s="44"/>
      <c r="N567" s="45"/>
      <c r="O567" s="44"/>
      <c r="P567" s="44"/>
      <c r="Q567" s="44"/>
      <c r="R567" s="44"/>
      <c r="S567" s="45"/>
      <c r="T567" s="44"/>
      <c r="U567" s="31"/>
    </row>
    <row r="568" ht="15.75" customHeight="1">
      <c r="A568" s="41" t="s">
        <v>153</v>
      </c>
      <c r="B568" s="44" t="s">
        <v>205</v>
      </c>
      <c r="C568" s="42" t="s">
        <v>36</v>
      </c>
      <c r="D568" s="43" t="s">
        <v>206</v>
      </c>
      <c r="E568" s="44" t="s">
        <v>207</v>
      </c>
      <c r="F568" s="52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4"/>
      <c r="U568" s="31"/>
    </row>
    <row r="569" ht="15.75" customHeight="1">
      <c r="A569" s="47"/>
      <c r="B569" s="44" t="s">
        <v>231</v>
      </c>
      <c r="C569" s="42"/>
      <c r="D569" s="43" t="s">
        <v>457</v>
      </c>
      <c r="E569" s="44" t="s">
        <v>233</v>
      </c>
      <c r="F569" s="5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56"/>
      <c r="U569" s="31"/>
    </row>
    <row r="570" ht="15.75" customHeight="1">
      <c r="A570" s="47"/>
      <c r="B570" s="44"/>
      <c r="C570" s="42"/>
      <c r="D570" s="43" t="s">
        <v>458</v>
      </c>
      <c r="E570" s="44"/>
      <c r="F570" s="57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9"/>
      <c r="U570" s="31"/>
    </row>
    <row r="571" ht="15.75" customHeight="1">
      <c r="A571" s="47"/>
      <c r="B571" s="44"/>
      <c r="C571" s="42"/>
      <c r="D571" s="43" t="s">
        <v>235</v>
      </c>
      <c r="E571" s="44" t="s">
        <v>213</v>
      </c>
      <c r="F571" s="52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4"/>
      <c r="U571" s="31"/>
    </row>
    <row r="572" ht="15.75" customHeight="1">
      <c r="A572" s="46"/>
      <c r="B572" s="44"/>
      <c r="C572" s="42"/>
      <c r="D572" s="43"/>
      <c r="E572" s="44" t="s">
        <v>214</v>
      </c>
      <c r="F572" s="57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9"/>
      <c r="U572" s="31"/>
    </row>
    <row r="573" ht="15.75" customHeight="1">
      <c r="A573" s="41"/>
      <c r="B573" s="41">
        <v>1</v>
      </c>
      <c r="C573" s="42" t="s">
        <v>36</v>
      </c>
      <c r="D573" s="43" t="s">
        <v>459</v>
      </c>
      <c r="E573" s="41" t="s">
        <v>160</v>
      </c>
      <c r="F573" s="44">
        <v>0</v>
      </c>
      <c r="G573" s="44">
        <v>0</v>
      </c>
      <c r="H573" s="45">
        <v>0</v>
      </c>
      <c r="I573" s="44">
        <v>0</v>
      </c>
      <c r="J573" s="44">
        <v>0</v>
      </c>
      <c r="K573" s="44">
        <v>0</v>
      </c>
      <c r="L573" s="44">
        <v>0</v>
      </c>
      <c r="M573" s="44">
        <v>0</v>
      </c>
      <c r="N573" s="45">
        <v>2</v>
      </c>
      <c r="O573" s="44">
        <v>0</v>
      </c>
      <c r="P573" s="44">
        <v>0</v>
      </c>
      <c r="Q573" s="44">
        <v>34</v>
      </c>
      <c r="R573" s="44">
        <v>0</v>
      </c>
      <c r="S573" s="45">
        <v>0</v>
      </c>
      <c r="T573" s="44">
        <v>0</v>
      </c>
      <c r="U573" s="31"/>
    </row>
    <row r="574" ht="15.75" customHeight="1">
      <c r="A574" s="47"/>
      <c r="B574" s="46"/>
      <c r="C574" s="42"/>
      <c r="D574" s="43" t="s">
        <v>237</v>
      </c>
      <c r="E574" s="46"/>
      <c r="F574" s="44"/>
      <c r="G574" s="44"/>
      <c r="H574" s="45"/>
      <c r="I574" s="44"/>
      <c r="J574" s="44"/>
      <c r="K574" s="44"/>
      <c r="L574" s="44"/>
      <c r="M574" s="44"/>
      <c r="N574" s="45"/>
      <c r="O574" s="44"/>
      <c r="P574" s="44"/>
      <c r="Q574" s="44"/>
      <c r="R574" s="44"/>
      <c r="S574" s="45"/>
      <c r="T574" s="44"/>
      <c r="U574" s="31"/>
    </row>
    <row r="575" ht="15.75" customHeight="1">
      <c r="A575" s="47"/>
      <c r="B575" s="41">
        <v>1</v>
      </c>
      <c r="C575" s="42" t="s">
        <v>36</v>
      </c>
      <c r="D575" s="43" t="s">
        <v>460</v>
      </c>
      <c r="E575" s="41" t="s">
        <v>160</v>
      </c>
      <c r="F575" s="44">
        <v>0</v>
      </c>
      <c r="G575" s="44">
        <v>0</v>
      </c>
      <c r="H575" s="45">
        <v>0</v>
      </c>
      <c r="I575" s="44">
        <v>0</v>
      </c>
      <c r="J575" s="44">
        <v>0</v>
      </c>
      <c r="K575" s="44">
        <v>0</v>
      </c>
      <c r="L575" s="44">
        <v>0</v>
      </c>
      <c r="M575" s="44">
        <v>0</v>
      </c>
      <c r="N575" s="45">
        <v>2</v>
      </c>
      <c r="O575" s="44">
        <v>0</v>
      </c>
      <c r="P575" s="44">
        <v>0</v>
      </c>
      <c r="Q575" s="44">
        <v>34</v>
      </c>
      <c r="R575" s="44">
        <v>0</v>
      </c>
      <c r="S575" s="45">
        <v>0</v>
      </c>
      <c r="T575" s="44">
        <v>0</v>
      </c>
      <c r="U575" s="31"/>
    </row>
    <row r="576" ht="15.75" customHeight="1">
      <c r="A576" s="46"/>
      <c r="B576" s="46"/>
      <c r="C576" s="42"/>
      <c r="D576" s="43" t="s">
        <v>239</v>
      </c>
      <c r="E576" s="46"/>
      <c r="F576" s="44"/>
      <c r="G576" s="44"/>
      <c r="H576" s="45"/>
      <c r="I576" s="44"/>
      <c r="J576" s="44"/>
      <c r="K576" s="44"/>
      <c r="L576" s="44"/>
      <c r="M576" s="44"/>
      <c r="N576" s="45"/>
      <c r="O576" s="44"/>
      <c r="P576" s="44"/>
      <c r="Q576" s="44"/>
      <c r="R576" s="44"/>
      <c r="S576" s="45"/>
      <c r="T576" s="44"/>
      <c r="U576" s="31"/>
    </row>
    <row r="577" ht="17.25" customHeight="1">
      <c r="A577" s="39" t="s">
        <v>461</v>
      </c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6"/>
      <c r="U577" s="31"/>
    </row>
    <row r="578" ht="17.25" customHeight="1">
      <c r="A578" s="39" t="s">
        <v>462</v>
      </c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6"/>
      <c r="U578" s="31"/>
    </row>
    <row r="579" ht="17.25" customHeight="1">
      <c r="A579" s="40" t="s">
        <v>152</v>
      </c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6"/>
      <c r="U579" s="31"/>
    </row>
    <row r="580" ht="15.75" customHeight="1">
      <c r="A580" s="41" t="s">
        <v>153</v>
      </c>
      <c r="B580" s="41">
        <f>SUM(F580:S580)/36</f>
        <v>2</v>
      </c>
      <c r="C580" s="42" t="s">
        <v>463</v>
      </c>
      <c r="D580" s="43" t="s">
        <v>464</v>
      </c>
      <c r="E580" s="41" t="s">
        <v>160</v>
      </c>
      <c r="F580" s="44">
        <v>0</v>
      </c>
      <c r="G580" s="44">
        <v>0</v>
      </c>
      <c r="H580" s="45">
        <v>10</v>
      </c>
      <c r="I580" s="44">
        <v>0</v>
      </c>
      <c r="J580" s="44">
        <v>0</v>
      </c>
      <c r="K580" s="44">
        <v>0</v>
      </c>
      <c r="L580" s="44">
        <v>0</v>
      </c>
      <c r="M580" s="44">
        <v>0</v>
      </c>
      <c r="N580" s="45">
        <v>2</v>
      </c>
      <c r="O580" s="44">
        <v>0</v>
      </c>
      <c r="P580" s="44">
        <v>0</v>
      </c>
      <c r="Q580" s="44">
        <v>60</v>
      </c>
      <c r="R580" s="44">
        <v>0</v>
      </c>
      <c r="S580" s="45">
        <v>0</v>
      </c>
      <c r="T580" s="44">
        <v>0</v>
      </c>
      <c r="U580" s="31"/>
    </row>
    <row r="581" ht="15.75" customHeight="1">
      <c r="A581" s="46"/>
      <c r="B581" s="46"/>
      <c r="C581" s="42"/>
      <c r="D581" s="43" t="s">
        <v>465</v>
      </c>
      <c r="E581" s="46"/>
      <c r="F581" s="44"/>
      <c r="G581" s="44"/>
      <c r="H581" s="45"/>
      <c r="I581" s="44"/>
      <c r="J581" s="44"/>
      <c r="K581" s="44"/>
      <c r="L581" s="44"/>
      <c r="M581" s="44"/>
      <c r="N581" s="45"/>
      <c r="O581" s="44"/>
      <c r="P581" s="44"/>
      <c r="Q581" s="44"/>
      <c r="R581" s="44"/>
      <c r="S581" s="45"/>
      <c r="T581" s="44"/>
      <c r="U581" s="31"/>
    </row>
    <row r="582" ht="15.75" customHeight="1">
      <c r="A582" s="41" t="s">
        <v>153</v>
      </c>
      <c r="B582" s="41">
        <f>SUM(F582:S582)/36</f>
        <v>3</v>
      </c>
      <c r="C582" s="42" t="s">
        <v>466</v>
      </c>
      <c r="D582" s="43" t="s">
        <v>467</v>
      </c>
      <c r="E582" s="41" t="s">
        <v>160</v>
      </c>
      <c r="F582" s="44">
        <v>16</v>
      </c>
      <c r="G582" s="44">
        <v>16</v>
      </c>
      <c r="H582" s="45">
        <v>0</v>
      </c>
      <c r="I582" s="44">
        <v>0</v>
      </c>
      <c r="J582" s="44">
        <v>0</v>
      </c>
      <c r="K582" s="44">
        <v>0</v>
      </c>
      <c r="L582" s="44">
        <v>0</v>
      </c>
      <c r="M582" s="44">
        <v>0</v>
      </c>
      <c r="N582" s="45">
        <v>2</v>
      </c>
      <c r="O582" s="44">
        <v>0</v>
      </c>
      <c r="P582" s="44">
        <v>0</v>
      </c>
      <c r="Q582" s="44">
        <v>67</v>
      </c>
      <c r="R582" s="44">
        <v>0</v>
      </c>
      <c r="S582" s="45">
        <v>7</v>
      </c>
      <c r="T582" s="44">
        <v>16</v>
      </c>
      <c r="U582" s="31"/>
    </row>
    <row r="583" ht="15.75" customHeight="1">
      <c r="A583" s="46"/>
      <c r="B583" s="46"/>
      <c r="C583" s="42"/>
      <c r="D583" s="43" t="s">
        <v>468</v>
      </c>
      <c r="E583" s="46"/>
      <c r="F583" s="44"/>
      <c r="G583" s="44"/>
      <c r="H583" s="45"/>
      <c r="I583" s="44"/>
      <c r="J583" s="44"/>
      <c r="K583" s="44"/>
      <c r="L583" s="44"/>
      <c r="M583" s="44"/>
      <c r="N583" s="45"/>
      <c r="O583" s="44"/>
      <c r="P583" s="44"/>
      <c r="Q583" s="44"/>
      <c r="R583" s="44"/>
      <c r="S583" s="45"/>
      <c r="T583" s="44"/>
      <c r="U583" s="31"/>
    </row>
    <row r="584" ht="15.75" customHeight="1">
      <c r="A584" s="41" t="s">
        <v>248</v>
      </c>
      <c r="B584" s="41">
        <f>SUM(F584:S584)/36</f>
        <v>10</v>
      </c>
      <c r="C584" s="42" t="s">
        <v>469</v>
      </c>
      <c r="D584" s="43" t="s">
        <v>420</v>
      </c>
      <c r="E584" s="41" t="s">
        <v>160</v>
      </c>
      <c r="F584" s="44">
        <v>0</v>
      </c>
      <c r="G584" s="44">
        <v>0</v>
      </c>
      <c r="H584" s="45">
        <v>0</v>
      </c>
      <c r="I584" s="44">
        <v>0</v>
      </c>
      <c r="J584" s="44">
        <v>0</v>
      </c>
      <c r="K584" s="44">
        <v>0</v>
      </c>
      <c r="L584" s="44">
        <v>0</v>
      </c>
      <c r="M584" s="44">
        <v>0</v>
      </c>
      <c r="N584" s="45">
        <v>2</v>
      </c>
      <c r="O584" s="44">
        <v>16</v>
      </c>
      <c r="P584" s="44">
        <v>8</v>
      </c>
      <c r="Q584" s="44">
        <v>324</v>
      </c>
      <c r="R584" s="44">
        <v>0</v>
      </c>
      <c r="S584" s="45">
        <v>10</v>
      </c>
      <c r="T584" s="44">
        <v>0</v>
      </c>
      <c r="U584" s="31"/>
    </row>
    <row r="585" ht="15.75" customHeight="1">
      <c r="A585" s="46"/>
      <c r="B585" s="46"/>
      <c r="C585" s="42"/>
      <c r="D585" s="43" t="s">
        <v>421</v>
      </c>
      <c r="E585" s="46"/>
      <c r="F585" s="44"/>
      <c r="G585" s="44"/>
      <c r="H585" s="45"/>
      <c r="I585" s="44"/>
      <c r="J585" s="44"/>
      <c r="K585" s="44"/>
      <c r="L585" s="44"/>
      <c r="M585" s="44"/>
      <c r="N585" s="45"/>
      <c r="O585" s="44"/>
      <c r="P585" s="44"/>
      <c r="Q585" s="44"/>
      <c r="R585" s="44"/>
      <c r="S585" s="45"/>
      <c r="T585" s="44"/>
      <c r="U585" s="31"/>
    </row>
    <row r="586" ht="15.75" customHeight="1">
      <c r="A586" s="41" t="s">
        <v>153</v>
      </c>
      <c r="B586" s="41">
        <f>SUM(F586:S586)/36</f>
        <v>1</v>
      </c>
      <c r="C586" s="42" t="s">
        <v>470</v>
      </c>
      <c r="D586" s="43" t="s">
        <v>471</v>
      </c>
      <c r="E586" s="41" t="s">
        <v>160</v>
      </c>
      <c r="F586" s="44">
        <v>0</v>
      </c>
      <c r="G586" s="44">
        <v>0</v>
      </c>
      <c r="H586" s="45">
        <v>10</v>
      </c>
      <c r="I586" s="44">
        <v>0</v>
      </c>
      <c r="J586" s="44">
        <v>0</v>
      </c>
      <c r="K586" s="44">
        <v>0</v>
      </c>
      <c r="L586" s="44">
        <v>0</v>
      </c>
      <c r="M586" s="44">
        <v>0</v>
      </c>
      <c r="N586" s="45">
        <v>2</v>
      </c>
      <c r="O586" s="44">
        <v>0</v>
      </c>
      <c r="P586" s="44">
        <v>0</v>
      </c>
      <c r="Q586" s="44">
        <v>24</v>
      </c>
      <c r="R586" s="44">
        <v>0</v>
      </c>
      <c r="S586" s="45">
        <v>0</v>
      </c>
      <c r="T586" s="44">
        <v>0</v>
      </c>
      <c r="U586" s="31"/>
    </row>
    <row r="587" ht="15.75" customHeight="1">
      <c r="A587" s="46"/>
      <c r="B587" s="46"/>
      <c r="C587" s="42"/>
      <c r="D587" s="43" t="s">
        <v>472</v>
      </c>
      <c r="E587" s="46"/>
      <c r="F587" s="44"/>
      <c r="G587" s="44"/>
      <c r="H587" s="45"/>
      <c r="I587" s="44"/>
      <c r="J587" s="44"/>
      <c r="K587" s="44"/>
      <c r="L587" s="44"/>
      <c r="M587" s="44"/>
      <c r="N587" s="45"/>
      <c r="O587" s="44"/>
      <c r="P587" s="44"/>
      <c r="Q587" s="44"/>
      <c r="R587" s="44"/>
      <c r="S587" s="45"/>
      <c r="T587" s="44"/>
      <c r="U587" s="31"/>
    </row>
    <row r="588" ht="17.25" customHeight="1">
      <c r="A588" s="60" t="s">
        <v>245</v>
      </c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50"/>
      <c r="U588" s="31"/>
    </row>
    <row r="589" ht="15.75" customHeight="1">
      <c r="A589" s="41" t="s">
        <v>153</v>
      </c>
      <c r="B589" s="41">
        <f>SUM(F589:S589)/36</f>
        <v>4</v>
      </c>
      <c r="C589" s="42" t="s">
        <v>473</v>
      </c>
      <c r="D589" s="43" t="s">
        <v>474</v>
      </c>
      <c r="E589" s="41" t="s">
        <v>169</v>
      </c>
      <c r="F589" s="44">
        <v>38</v>
      </c>
      <c r="G589" s="44">
        <v>14</v>
      </c>
      <c r="H589" s="45">
        <v>2</v>
      </c>
      <c r="I589" s="44">
        <v>0</v>
      </c>
      <c r="J589" s="44">
        <v>0</v>
      </c>
      <c r="K589" s="44">
        <v>0</v>
      </c>
      <c r="L589" s="44">
        <v>0</v>
      </c>
      <c r="M589" s="44">
        <v>0</v>
      </c>
      <c r="N589" s="45">
        <v>2</v>
      </c>
      <c r="O589" s="44">
        <v>0</v>
      </c>
      <c r="P589" s="44">
        <v>0</v>
      </c>
      <c r="Q589" s="44">
        <v>64</v>
      </c>
      <c r="R589" s="44">
        <v>0</v>
      </c>
      <c r="S589" s="45">
        <v>24</v>
      </c>
      <c r="T589" s="44">
        <v>16</v>
      </c>
      <c r="U589" s="31"/>
    </row>
    <row r="590" ht="15.75" customHeight="1">
      <c r="A590" s="46"/>
      <c r="B590" s="46"/>
      <c r="C590" s="42"/>
      <c r="D590" s="43" t="s">
        <v>475</v>
      </c>
      <c r="E590" s="46"/>
      <c r="F590" s="44"/>
      <c r="G590" s="44"/>
      <c r="H590" s="45"/>
      <c r="I590" s="44"/>
      <c r="J590" s="44"/>
      <c r="K590" s="44"/>
      <c r="L590" s="44"/>
      <c r="M590" s="44"/>
      <c r="N590" s="45"/>
      <c r="O590" s="44"/>
      <c r="P590" s="44"/>
      <c r="Q590" s="44"/>
      <c r="R590" s="44"/>
      <c r="S590" s="45"/>
      <c r="T590" s="44"/>
      <c r="U590" s="31"/>
    </row>
    <row r="591" ht="15.75" customHeight="1">
      <c r="A591" s="41" t="s">
        <v>153</v>
      </c>
      <c r="B591" s="41">
        <f>SUM(F591:S591)/36</f>
        <v>3</v>
      </c>
      <c r="C591" s="42" t="s">
        <v>476</v>
      </c>
      <c r="D591" s="43" t="s">
        <v>477</v>
      </c>
      <c r="E591" s="41" t="s">
        <v>160</v>
      </c>
      <c r="F591" s="44">
        <v>12</v>
      </c>
      <c r="G591" s="44">
        <v>14</v>
      </c>
      <c r="H591" s="45">
        <v>0</v>
      </c>
      <c r="I591" s="44">
        <v>0</v>
      </c>
      <c r="J591" s="44">
        <v>0</v>
      </c>
      <c r="K591" s="44">
        <v>0</v>
      </c>
      <c r="L591" s="44">
        <v>0</v>
      </c>
      <c r="M591" s="44">
        <v>0</v>
      </c>
      <c r="N591" s="45">
        <v>2</v>
      </c>
      <c r="O591" s="44">
        <v>0</v>
      </c>
      <c r="P591" s="44">
        <v>0</v>
      </c>
      <c r="Q591" s="44">
        <v>73</v>
      </c>
      <c r="R591" s="44">
        <v>0</v>
      </c>
      <c r="S591" s="45">
        <v>7</v>
      </c>
      <c r="T591" s="44">
        <v>14</v>
      </c>
      <c r="U591" s="31"/>
    </row>
    <row r="592" ht="15.75" customHeight="1">
      <c r="A592" s="46"/>
      <c r="B592" s="46"/>
      <c r="C592" s="42"/>
      <c r="D592" s="43" t="s">
        <v>478</v>
      </c>
      <c r="E592" s="46"/>
      <c r="F592" s="44"/>
      <c r="G592" s="44"/>
      <c r="H592" s="45"/>
      <c r="I592" s="44"/>
      <c r="J592" s="44"/>
      <c r="K592" s="44"/>
      <c r="L592" s="44"/>
      <c r="M592" s="44"/>
      <c r="N592" s="45"/>
      <c r="O592" s="44"/>
      <c r="P592" s="44"/>
      <c r="Q592" s="44"/>
      <c r="R592" s="44"/>
      <c r="S592" s="45"/>
      <c r="T592" s="44"/>
      <c r="U592" s="31"/>
    </row>
    <row r="593" ht="15.75" customHeight="1">
      <c r="A593" s="41" t="s">
        <v>153</v>
      </c>
      <c r="B593" s="41">
        <f>SUM(F593:S593)/36</f>
        <v>3</v>
      </c>
      <c r="C593" s="42" t="s">
        <v>479</v>
      </c>
      <c r="D593" s="43" t="s">
        <v>480</v>
      </c>
      <c r="E593" s="41" t="s">
        <v>160</v>
      </c>
      <c r="F593" s="44">
        <v>0</v>
      </c>
      <c r="G593" s="44">
        <v>26</v>
      </c>
      <c r="H593" s="45">
        <v>0</v>
      </c>
      <c r="I593" s="44">
        <v>0</v>
      </c>
      <c r="J593" s="44">
        <v>0</v>
      </c>
      <c r="K593" s="44">
        <v>0</v>
      </c>
      <c r="L593" s="44">
        <v>0</v>
      </c>
      <c r="M593" s="44">
        <v>0</v>
      </c>
      <c r="N593" s="45">
        <v>2</v>
      </c>
      <c r="O593" s="44">
        <v>0</v>
      </c>
      <c r="P593" s="44">
        <v>0</v>
      </c>
      <c r="Q593" s="44">
        <v>73</v>
      </c>
      <c r="R593" s="44">
        <v>0</v>
      </c>
      <c r="S593" s="45">
        <v>7</v>
      </c>
      <c r="T593" s="44">
        <v>26</v>
      </c>
      <c r="U593" s="31"/>
    </row>
    <row r="594" ht="15.75" customHeight="1">
      <c r="A594" s="46"/>
      <c r="B594" s="46"/>
      <c r="C594" s="42"/>
      <c r="D594" s="43" t="s">
        <v>481</v>
      </c>
      <c r="E594" s="46"/>
      <c r="F594" s="44"/>
      <c r="G594" s="44"/>
      <c r="H594" s="45"/>
      <c r="I594" s="44"/>
      <c r="J594" s="44"/>
      <c r="K594" s="44"/>
      <c r="L594" s="44"/>
      <c r="M594" s="44"/>
      <c r="N594" s="45"/>
      <c r="O594" s="44"/>
      <c r="P594" s="44"/>
      <c r="Q594" s="44"/>
      <c r="R594" s="44"/>
      <c r="S594" s="45"/>
      <c r="T594" s="44"/>
      <c r="U594" s="31"/>
    </row>
    <row r="595" ht="17.25" customHeight="1">
      <c r="A595" s="60" t="s">
        <v>247</v>
      </c>
      <c r="B595" s="49"/>
      <c r="C595" s="49"/>
      <c r="D595" s="49"/>
      <c r="E595" s="49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4"/>
      <c r="U595" s="31"/>
    </row>
    <row r="596" ht="15.75" customHeight="1">
      <c r="A596" s="41" t="s">
        <v>153</v>
      </c>
      <c r="B596" s="41">
        <f>SUM(F596:S596)/36</f>
        <v>4</v>
      </c>
      <c r="C596" s="42" t="s">
        <v>482</v>
      </c>
      <c r="D596" s="43" t="s">
        <v>483</v>
      </c>
      <c r="E596" s="52" t="s">
        <v>169</v>
      </c>
      <c r="F596" s="61">
        <v>18</v>
      </c>
      <c r="G596" s="61">
        <v>22</v>
      </c>
      <c r="H596" s="68">
        <v>2</v>
      </c>
      <c r="I596" s="61">
        <v>0</v>
      </c>
      <c r="J596" s="61">
        <v>0</v>
      </c>
      <c r="K596" s="61">
        <v>0</v>
      </c>
      <c r="L596" s="61">
        <v>0</v>
      </c>
      <c r="M596" s="61">
        <v>0</v>
      </c>
      <c r="N596" s="68">
        <v>2</v>
      </c>
      <c r="O596" s="61">
        <v>0</v>
      </c>
      <c r="P596" s="61">
        <v>0</v>
      </c>
      <c r="Q596" s="61">
        <v>74</v>
      </c>
      <c r="R596" s="61">
        <v>0</v>
      </c>
      <c r="S596" s="68">
        <v>26</v>
      </c>
      <c r="T596" s="61">
        <v>22</v>
      </c>
      <c r="U596" s="31"/>
    </row>
    <row r="597" ht="15.75" customHeight="1">
      <c r="A597" s="46"/>
      <c r="B597" s="46"/>
      <c r="C597" s="42"/>
      <c r="D597" s="43" t="s">
        <v>484</v>
      </c>
      <c r="E597" s="57"/>
      <c r="F597" s="69"/>
      <c r="G597" s="69"/>
      <c r="H597" s="70"/>
      <c r="I597" s="69"/>
      <c r="J597" s="69"/>
      <c r="K597" s="69"/>
      <c r="L597" s="69"/>
      <c r="M597" s="69"/>
      <c r="N597" s="70"/>
      <c r="O597" s="69"/>
      <c r="P597" s="69"/>
      <c r="Q597" s="69"/>
      <c r="R597" s="69"/>
      <c r="S597" s="70"/>
      <c r="T597" s="69"/>
      <c r="U597" s="31"/>
    </row>
    <row r="598" ht="15.75" customHeight="1">
      <c r="A598" s="41" t="s">
        <v>153</v>
      </c>
      <c r="B598" s="41">
        <f>SUM(F598:S598)/36</f>
        <v>3</v>
      </c>
      <c r="C598" s="42" t="s">
        <v>485</v>
      </c>
      <c r="D598" s="43" t="s">
        <v>486</v>
      </c>
      <c r="E598" s="52" t="s">
        <v>160</v>
      </c>
      <c r="F598" s="61">
        <v>8</v>
      </c>
      <c r="G598" s="61">
        <v>14</v>
      </c>
      <c r="H598" s="68">
        <v>0</v>
      </c>
      <c r="I598" s="61">
        <v>20</v>
      </c>
      <c r="J598" s="61">
        <v>0</v>
      </c>
      <c r="K598" s="61">
        <v>0</v>
      </c>
      <c r="L598" s="61">
        <v>0</v>
      </c>
      <c r="M598" s="61">
        <v>0</v>
      </c>
      <c r="N598" s="68">
        <v>2</v>
      </c>
      <c r="O598" s="61">
        <v>0</v>
      </c>
      <c r="P598" s="61">
        <v>0</v>
      </c>
      <c r="Q598" s="61">
        <v>57</v>
      </c>
      <c r="R598" s="61">
        <v>0</v>
      </c>
      <c r="S598" s="68">
        <v>7</v>
      </c>
      <c r="T598" s="61">
        <v>34</v>
      </c>
      <c r="U598" s="31"/>
    </row>
    <row r="599" ht="15.75" customHeight="1">
      <c r="A599" s="46"/>
      <c r="B599" s="46"/>
      <c r="C599" s="42"/>
      <c r="D599" s="43" t="s">
        <v>487</v>
      </c>
      <c r="E599" s="57"/>
      <c r="F599" s="69"/>
      <c r="G599" s="69"/>
      <c r="H599" s="70"/>
      <c r="I599" s="69"/>
      <c r="J599" s="69"/>
      <c r="K599" s="69"/>
      <c r="L599" s="69"/>
      <c r="M599" s="69"/>
      <c r="N599" s="70"/>
      <c r="O599" s="69"/>
      <c r="P599" s="69"/>
      <c r="Q599" s="69"/>
      <c r="R599" s="69"/>
      <c r="S599" s="70"/>
      <c r="T599" s="69"/>
      <c r="U599" s="31"/>
    </row>
    <row r="600" ht="15.75" customHeight="1">
      <c r="A600" s="41" t="s">
        <v>153</v>
      </c>
      <c r="B600" s="41">
        <f>SUM(F600:S600)/36</f>
        <v>3</v>
      </c>
      <c r="C600" s="42" t="s">
        <v>488</v>
      </c>
      <c r="D600" s="43" t="s">
        <v>489</v>
      </c>
      <c r="E600" s="52" t="s">
        <v>160</v>
      </c>
      <c r="F600" s="71">
        <v>6</v>
      </c>
      <c r="G600" s="71">
        <v>8</v>
      </c>
      <c r="H600" s="72">
        <v>0</v>
      </c>
      <c r="I600" s="71">
        <v>10</v>
      </c>
      <c r="J600" s="61">
        <v>0</v>
      </c>
      <c r="K600" s="61">
        <v>0</v>
      </c>
      <c r="L600" s="61">
        <v>0</v>
      </c>
      <c r="M600" s="61">
        <v>0</v>
      </c>
      <c r="N600" s="68">
        <v>2</v>
      </c>
      <c r="O600" s="61">
        <v>0</v>
      </c>
      <c r="P600" s="61">
        <v>0</v>
      </c>
      <c r="Q600" s="61">
        <v>75</v>
      </c>
      <c r="R600" s="61">
        <v>0</v>
      </c>
      <c r="S600" s="68">
        <v>7</v>
      </c>
      <c r="T600" s="61">
        <v>18</v>
      </c>
      <c r="U600" s="31"/>
    </row>
    <row r="601" ht="15.75" customHeight="1">
      <c r="A601" s="46"/>
      <c r="B601" s="46"/>
      <c r="C601" s="42"/>
      <c r="D601" s="43" t="s">
        <v>490</v>
      </c>
      <c r="E601" s="46"/>
      <c r="F601" s="62"/>
      <c r="G601" s="62"/>
      <c r="H601" s="63"/>
      <c r="I601" s="62"/>
      <c r="J601" s="62"/>
      <c r="K601" s="62"/>
      <c r="L601" s="62"/>
      <c r="M601" s="62"/>
      <c r="N601" s="63"/>
      <c r="O601" s="62"/>
      <c r="P601" s="62"/>
      <c r="Q601" s="62"/>
      <c r="R601" s="62"/>
      <c r="S601" s="63"/>
      <c r="T601" s="62"/>
      <c r="U601" s="31"/>
    </row>
    <row r="602" ht="17.25" customHeight="1">
      <c r="A602" s="40" t="s">
        <v>202</v>
      </c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6"/>
      <c r="U602" s="31"/>
    </row>
    <row r="603" ht="17.25" customHeight="1">
      <c r="A603" s="60" t="s">
        <v>245</v>
      </c>
      <c r="B603" s="49"/>
      <c r="C603" s="53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50"/>
      <c r="U603" s="31"/>
    </row>
    <row r="604" ht="15.75" customHeight="1">
      <c r="A604" s="41" t="s">
        <v>153</v>
      </c>
      <c r="B604" s="52">
        <v>4</v>
      </c>
      <c r="C604" s="64" t="s">
        <v>491</v>
      </c>
      <c r="D604" s="65" t="s">
        <v>492</v>
      </c>
      <c r="E604" s="41" t="s">
        <v>169</v>
      </c>
      <c r="F604" s="44">
        <v>26</v>
      </c>
      <c r="G604" s="44">
        <v>26</v>
      </c>
      <c r="H604" s="45">
        <v>2</v>
      </c>
      <c r="I604" s="44">
        <v>0</v>
      </c>
      <c r="J604" s="44">
        <v>0</v>
      </c>
      <c r="K604" s="44">
        <v>0</v>
      </c>
      <c r="L604" s="44">
        <v>0</v>
      </c>
      <c r="M604" s="44">
        <v>2</v>
      </c>
      <c r="N604" s="45">
        <v>2</v>
      </c>
      <c r="O604" s="44">
        <v>0</v>
      </c>
      <c r="P604" s="44">
        <v>0</v>
      </c>
      <c r="Q604" s="44">
        <v>62</v>
      </c>
      <c r="R604" s="44">
        <v>0</v>
      </c>
      <c r="S604" s="45">
        <v>24</v>
      </c>
      <c r="T604" s="44">
        <v>28</v>
      </c>
      <c r="U604" s="31"/>
    </row>
    <row r="605" ht="15.75" customHeight="1">
      <c r="A605" s="47"/>
      <c r="B605" s="55"/>
      <c r="C605" s="66"/>
      <c r="D605" s="65" t="s">
        <v>493</v>
      </c>
      <c r="E605" s="47"/>
      <c r="F605" s="44"/>
      <c r="G605" s="44"/>
      <c r="H605" s="45"/>
      <c r="I605" s="44"/>
      <c r="J605" s="44"/>
      <c r="K605" s="44"/>
      <c r="L605" s="44"/>
      <c r="M605" s="44"/>
      <c r="N605" s="45"/>
      <c r="O605" s="44"/>
      <c r="P605" s="44"/>
      <c r="Q605" s="44"/>
      <c r="R605" s="44"/>
      <c r="S605" s="45"/>
      <c r="T605" s="44"/>
      <c r="U605" s="31"/>
    </row>
    <row r="606" ht="15.75" customHeight="1">
      <c r="A606" s="47"/>
      <c r="B606" s="55"/>
      <c r="C606" s="64" t="s">
        <v>494</v>
      </c>
      <c r="D606" s="65" t="s">
        <v>495</v>
      </c>
      <c r="E606" s="47"/>
      <c r="F606" s="44">
        <v>0</v>
      </c>
      <c r="G606" s="44">
        <v>14</v>
      </c>
      <c r="H606" s="45">
        <v>2</v>
      </c>
      <c r="I606" s="44">
        <v>16</v>
      </c>
      <c r="J606" s="44">
        <v>0</v>
      </c>
      <c r="K606" s="44">
        <v>2</v>
      </c>
      <c r="L606" s="44">
        <v>0</v>
      </c>
      <c r="M606" s="44">
        <v>0</v>
      </c>
      <c r="N606" s="45">
        <v>2</v>
      </c>
      <c r="O606" s="44">
        <v>0</v>
      </c>
      <c r="P606" s="44">
        <v>0</v>
      </c>
      <c r="Q606" s="44">
        <v>84</v>
      </c>
      <c r="R606" s="44">
        <v>0</v>
      </c>
      <c r="S606" s="45">
        <v>24</v>
      </c>
      <c r="T606" s="44">
        <v>32</v>
      </c>
      <c r="U606" s="31"/>
    </row>
    <row r="607" ht="15.75" customHeight="1">
      <c r="A607" s="47"/>
      <c r="B607" s="55"/>
      <c r="C607" s="66"/>
      <c r="D607" s="65" t="s">
        <v>496</v>
      </c>
      <c r="E607" s="47"/>
      <c r="F607" s="44"/>
      <c r="G607" s="44"/>
      <c r="H607" s="45"/>
      <c r="I607" s="44"/>
      <c r="J607" s="44"/>
      <c r="K607" s="44"/>
      <c r="L607" s="44"/>
      <c r="M607" s="44"/>
      <c r="N607" s="45"/>
      <c r="O607" s="44"/>
      <c r="P607" s="44"/>
      <c r="Q607" s="44"/>
      <c r="R607" s="44"/>
      <c r="S607" s="45"/>
      <c r="T607" s="44"/>
      <c r="U607" s="31"/>
    </row>
    <row r="608" ht="15.75" customHeight="1">
      <c r="A608" s="47"/>
      <c r="B608" s="55"/>
      <c r="C608" s="64" t="s">
        <v>497</v>
      </c>
      <c r="D608" s="65" t="s">
        <v>498</v>
      </c>
      <c r="E608" s="47"/>
      <c r="F608" s="44">
        <v>26</v>
      </c>
      <c r="G608" s="44">
        <v>26</v>
      </c>
      <c r="H608" s="45">
        <v>2</v>
      </c>
      <c r="I608" s="44">
        <v>0</v>
      </c>
      <c r="J608" s="44">
        <v>0</v>
      </c>
      <c r="K608" s="44">
        <v>0</v>
      </c>
      <c r="L608" s="44">
        <v>0</v>
      </c>
      <c r="M608" s="44">
        <v>2</v>
      </c>
      <c r="N608" s="45">
        <v>2</v>
      </c>
      <c r="O608" s="44">
        <v>0</v>
      </c>
      <c r="P608" s="44">
        <v>0</v>
      </c>
      <c r="Q608" s="44">
        <v>62</v>
      </c>
      <c r="R608" s="44">
        <v>0</v>
      </c>
      <c r="S608" s="45">
        <v>24</v>
      </c>
      <c r="T608" s="44">
        <v>28</v>
      </c>
      <c r="U608" s="31"/>
    </row>
    <row r="609" ht="15.75" customHeight="1">
      <c r="A609" s="46"/>
      <c r="B609" s="57"/>
      <c r="C609" s="66"/>
      <c r="D609" s="65" t="s">
        <v>499</v>
      </c>
      <c r="E609" s="46"/>
      <c r="F609" s="44"/>
      <c r="G609" s="44"/>
      <c r="H609" s="45"/>
      <c r="I609" s="44"/>
      <c r="J609" s="44"/>
      <c r="K609" s="44"/>
      <c r="L609" s="44"/>
      <c r="M609" s="44"/>
      <c r="N609" s="45"/>
      <c r="O609" s="44"/>
      <c r="P609" s="44"/>
      <c r="Q609" s="44"/>
      <c r="R609" s="44"/>
      <c r="S609" s="45"/>
      <c r="T609" s="44"/>
      <c r="U609" s="31"/>
    </row>
    <row r="610" ht="17.25" customHeight="1">
      <c r="A610" s="60" t="s">
        <v>247</v>
      </c>
      <c r="B610" s="49"/>
      <c r="C610" s="67"/>
      <c r="D610" s="49"/>
      <c r="E610" s="49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4"/>
      <c r="U610" s="31"/>
    </row>
    <row r="611" ht="15.75" customHeight="1">
      <c r="A611" s="41" t="s">
        <v>153</v>
      </c>
      <c r="B611" s="52">
        <v>4</v>
      </c>
      <c r="C611" s="64" t="s">
        <v>500</v>
      </c>
      <c r="D611" s="65" t="s">
        <v>501</v>
      </c>
      <c r="E611" s="52" t="s">
        <v>169</v>
      </c>
      <c r="F611" s="61">
        <v>30</v>
      </c>
      <c r="G611" s="61">
        <v>0</v>
      </c>
      <c r="H611" s="68">
        <v>2</v>
      </c>
      <c r="I611" s="61">
        <v>24</v>
      </c>
      <c r="J611" s="61">
        <v>0</v>
      </c>
      <c r="K611" s="61">
        <v>0</v>
      </c>
      <c r="L611" s="61">
        <v>0</v>
      </c>
      <c r="M611" s="61">
        <v>0</v>
      </c>
      <c r="N611" s="68">
        <v>2</v>
      </c>
      <c r="O611" s="61">
        <v>0</v>
      </c>
      <c r="P611" s="61">
        <v>0</v>
      </c>
      <c r="Q611" s="61">
        <v>60</v>
      </c>
      <c r="R611" s="61">
        <v>0</v>
      </c>
      <c r="S611" s="68">
        <v>26</v>
      </c>
      <c r="T611" s="61">
        <v>26</v>
      </c>
      <c r="U611" s="31"/>
    </row>
    <row r="612" ht="15.75" customHeight="1">
      <c r="A612" s="47"/>
      <c r="B612" s="55"/>
      <c r="C612" s="66"/>
      <c r="D612" s="65" t="s">
        <v>502</v>
      </c>
      <c r="E612" s="47"/>
      <c r="F612" s="73"/>
      <c r="G612" s="73"/>
      <c r="H612" s="74"/>
      <c r="I612" s="73"/>
      <c r="J612" s="73"/>
      <c r="K612" s="73"/>
      <c r="L612" s="73"/>
      <c r="M612" s="73"/>
      <c r="N612" s="74"/>
      <c r="O612" s="73"/>
      <c r="P612" s="73"/>
      <c r="Q612" s="73"/>
      <c r="R612" s="73"/>
      <c r="S612" s="74"/>
      <c r="T612" s="73"/>
      <c r="U612" s="31"/>
    </row>
    <row r="613" ht="15.75" customHeight="1">
      <c r="A613" s="47"/>
      <c r="B613" s="55"/>
      <c r="C613" s="64" t="s">
        <v>503</v>
      </c>
      <c r="D613" s="65" t="s">
        <v>504</v>
      </c>
      <c r="E613" s="55"/>
      <c r="F613" s="61">
        <v>26</v>
      </c>
      <c r="G613" s="61">
        <v>28</v>
      </c>
      <c r="H613" s="68">
        <v>2</v>
      </c>
      <c r="I613" s="61">
        <v>0</v>
      </c>
      <c r="J613" s="61">
        <v>0</v>
      </c>
      <c r="K613" s="61">
        <v>0</v>
      </c>
      <c r="L613" s="61">
        <v>0</v>
      </c>
      <c r="M613" s="61">
        <v>0</v>
      </c>
      <c r="N613" s="68">
        <v>2</v>
      </c>
      <c r="O613" s="61">
        <v>0</v>
      </c>
      <c r="P613" s="61">
        <v>0</v>
      </c>
      <c r="Q613" s="61">
        <v>62</v>
      </c>
      <c r="R613" s="61">
        <v>0</v>
      </c>
      <c r="S613" s="68">
        <v>24</v>
      </c>
      <c r="T613" s="61">
        <v>30</v>
      </c>
      <c r="U613" s="31"/>
    </row>
    <row r="614" ht="15.75" customHeight="1">
      <c r="A614" s="47"/>
      <c r="B614" s="55"/>
      <c r="C614" s="66"/>
      <c r="D614" s="65" t="s">
        <v>505</v>
      </c>
      <c r="E614" s="47"/>
      <c r="F614" s="73"/>
      <c r="G614" s="73"/>
      <c r="H614" s="74"/>
      <c r="I614" s="73"/>
      <c r="J614" s="73"/>
      <c r="K614" s="73"/>
      <c r="L614" s="73"/>
      <c r="M614" s="73"/>
      <c r="N614" s="74"/>
      <c r="O614" s="73"/>
      <c r="P614" s="73"/>
      <c r="Q614" s="73"/>
      <c r="R614" s="73"/>
      <c r="S614" s="74"/>
      <c r="T614" s="73"/>
      <c r="U614" s="31"/>
    </row>
    <row r="615" ht="15.75" customHeight="1">
      <c r="A615" s="47"/>
      <c r="B615" s="55"/>
      <c r="C615" s="64" t="s">
        <v>506</v>
      </c>
      <c r="D615" s="65" t="s">
        <v>507</v>
      </c>
      <c r="E615" s="55"/>
      <c r="F615" s="61">
        <v>26</v>
      </c>
      <c r="G615" s="61">
        <v>28</v>
      </c>
      <c r="H615" s="68">
        <v>2</v>
      </c>
      <c r="I615" s="61">
        <v>0</v>
      </c>
      <c r="J615" s="61">
        <v>0</v>
      </c>
      <c r="K615" s="61">
        <v>0</v>
      </c>
      <c r="L615" s="61">
        <v>0</v>
      </c>
      <c r="M615" s="61">
        <v>0</v>
      </c>
      <c r="N615" s="68">
        <v>2</v>
      </c>
      <c r="O615" s="61">
        <v>0</v>
      </c>
      <c r="P615" s="61">
        <v>0</v>
      </c>
      <c r="Q615" s="61">
        <v>62</v>
      </c>
      <c r="R615" s="61">
        <v>0</v>
      </c>
      <c r="S615" s="68">
        <v>24</v>
      </c>
      <c r="T615" s="61">
        <v>30</v>
      </c>
      <c r="U615" s="31"/>
    </row>
    <row r="616" ht="15.75" customHeight="1">
      <c r="A616" s="46"/>
      <c r="B616" s="57"/>
      <c r="C616" s="66"/>
      <c r="D616" s="65" t="s">
        <v>508</v>
      </c>
      <c r="E616" s="46"/>
      <c r="F616" s="62"/>
      <c r="G616" s="62"/>
      <c r="H616" s="63"/>
      <c r="I616" s="62"/>
      <c r="J616" s="62"/>
      <c r="K616" s="62"/>
      <c r="L616" s="62"/>
      <c r="M616" s="62"/>
      <c r="N616" s="63"/>
      <c r="O616" s="62"/>
      <c r="P616" s="62"/>
      <c r="Q616" s="62"/>
      <c r="R616" s="62"/>
      <c r="S616" s="63"/>
      <c r="T616" s="62"/>
      <c r="U616" s="31"/>
    </row>
    <row r="617" ht="17.25" customHeight="1">
      <c r="A617" s="48" t="s">
        <v>204</v>
      </c>
      <c r="B617" s="49"/>
      <c r="C617" s="58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50"/>
      <c r="U617" s="31"/>
    </row>
    <row r="618" ht="15.75" customHeight="1">
      <c r="A618" s="41" t="s">
        <v>153</v>
      </c>
      <c r="B618" s="44" t="s">
        <v>205</v>
      </c>
      <c r="C618" s="42" t="s">
        <v>36</v>
      </c>
      <c r="D618" s="43" t="s">
        <v>206</v>
      </c>
      <c r="E618" s="44" t="s">
        <v>207</v>
      </c>
      <c r="F618" s="52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4"/>
      <c r="U618" s="31"/>
    </row>
    <row r="619" ht="15.75" customHeight="1">
      <c r="A619" s="47"/>
      <c r="B619" s="44" t="s">
        <v>208</v>
      </c>
      <c r="C619" s="42"/>
      <c r="D619" s="43" t="s">
        <v>509</v>
      </c>
      <c r="E619" s="44" t="s">
        <v>210</v>
      </c>
      <c r="F619" s="5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56"/>
      <c r="U619" s="31"/>
    </row>
    <row r="620" ht="15.75" customHeight="1">
      <c r="A620" s="47"/>
      <c r="B620" s="44"/>
      <c r="C620" s="42"/>
      <c r="D620" s="43" t="s">
        <v>510</v>
      </c>
      <c r="E620" s="44"/>
      <c r="F620" s="57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9"/>
      <c r="U620" s="31"/>
    </row>
    <row r="621" ht="15.75" customHeight="1">
      <c r="A621" s="47"/>
      <c r="B621" s="44"/>
      <c r="C621" s="42"/>
      <c r="D621" s="43" t="s">
        <v>212</v>
      </c>
      <c r="E621" s="44" t="s">
        <v>213</v>
      </c>
      <c r="F621" s="52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4"/>
      <c r="U621" s="31"/>
    </row>
    <row r="622" ht="15.75" customHeight="1">
      <c r="A622" s="46"/>
      <c r="B622" s="44"/>
      <c r="C622" s="42"/>
      <c r="D622" s="43"/>
      <c r="E622" s="44" t="s">
        <v>214</v>
      </c>
      <c r="F622" s="57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9"/>
      <c r="U622" s="31"/>
    </row>
    <row r="623" ht="15.75" customHeight="1">
      <c r="A623" s="41"/>
      <c r="B623" s="41">
        <v>2</v>
      </c>
      <c r="C623" s="42" t="s">
        <v>36</v>
      </c>
      <c r="D623" s="43" t="s">
        <v>511</v>
      </c>
      <c r="E623" s="41" t="s">
        <v>160</v>
      </c>
      <c r="F623" s="44">
        <v>0</v>
      </c>
      <c r="G623" s="44">
        <v>0</v>
      </c>
      <c r="H623" s="45">
        <v>0</v>
      </c>
      <c r="I623" s="44">
        <v>0</v>
      </c>
      <c r="J623" s="44">
        <v>0</v>
      </c>
      <c r="K623" s="44">
        <v>0</v>
      </c>
      <c r="L623" s="44">
        <v>0</v>
      </c>
      <c r="M623" s="44">
        <v>0</v>
      </c>
      <c r="N623" s="45">
        <v>2</v>
      </c>
      <c r="O623" s="44">
        <v>0</v>
      </c>
      <c r="P623" s="44">
        <v>0</v>
      </c>
      <c r="Q623" s="44">
        <v>70</v>
      </c>
      <c r="R623" s="44">
        <v>0</v>
      </c>
      <c r="S623" s="45">
        <v>0</v>
      </c>
      <c r="T623" s="44">
        <v>0</v>
      </c>
      <c r="U623" s="31"/>
    </row>
    <row r="624" ht="15.75" customHeight="1">
      <c r="A624" s="47"/>
      <c r="B624" s="46"/>
      <c r="C624" s="42"/>
      <c r="D624" s="43" t="s">
        <v>216</v>
      </c>
      <c r="E624" s="46"/>
      <c r="F624" s="44"/>
      <c r="G624" s="44"/>
      <c r="H624" s="45"/>
      <c r="I624" s="44"/>
      <c r="J624" s="44"/>
      <c r="K624" s="44"/>
      <c r="L624" s="44"/>
      <c r="M624" s="44"/>
      <c r="N624" s="45"/>
      <c r="O624" s="44"/>
      <c r="P624" s="44"/>
      <c r="Q624" s="44"/>
      <c r="R624" s="44"/>
      <c r="S624" s="45"/>
      <c r="T624" s="44"/>
      <c r="U624" s="31"/>
    </row>
    <row r="625" ht="15.75" customHeight="1">
      <c r="A625" s="47"/>
      <c r="B625" s="41">
        <v>2</v>
      </c>
      <c r="C625" s="42" t="s">
        <v>36</v>
      </c>
      <c r="D625" s="43" t="s">
        <v>512</v>
      </c>
      <c r="E625" s="41" t="s">
        <v>160</v>
      </c>
      <c r="F625" s="44">
        <v>0</v>
      </c>
      <c r="G625" s="44">
        <v>0</v>
      </c>
      <c r="H625" s="45">
        <v>0</v>
      </c>
      <c r="I625" s="44">
        <v>0</v>
      </c>
      <c r="J625" s="44">
        <v>0</v>
      </c>
      <c r="K625" s="44">
        <v>0</v>
      </c>
      <c r="L625" s="44">
        <v>0</v>
      </c>
      <c r="M625" s="44">
        <v>0</v>
      </c>
      <c r="N625" s="45">
        <v>2</v>
      </c>
      <c r="O625" s="44">
        <v>0</v>
      </c>
      <c r="P625" s="44">
        <v>0</v>
      </c>
      <c r="Q625" s="44">
        <v>70</v>
      </c>
      <c r="R625" s="44">
        <v>0</v>
      </c>
      <c r="S625" s="45">
        <v>0</v>
      </c>
      <c r="T625" s="44">
        <v>0</v>
      </c>
      <c r="U625" s="31"/>
    </row>
    <row r="626" ht="15.75" customHeight="1">
      <c r="A626" s="47"/>
      <c r="B626" s="46"/>
      <c r="C626" s="42"/>
      <c r="D626" s="43" t="s">
        <v>218</v>
      </c>
      <c r="E626" s="46"/>
      <c r="F626" s="44"/>
      <c r="G626" s="44"/>
      <c r="H626" s="45"/>
      <c r="I626" s="44"/>
      <c r="J626" s="44"/>
      <c r="K626" s="44"/>
      <c r="L626" s="44"/>
      <c r="M626" s="44"/>
      <c r="N626" s="45"/>
      <c r="O626" s="44"/>
      <c r="P626" s="44"/>
      <c r="Q626" s="44"/>
      <c r="R626" s="44"/>
      <c r="S626" s="45"/>
      <c r="T626" s="44"/>
      <c r="U626" s="31"/>
    </row>
    <row r="627" ht="15.75" customHeight="1">
      <c r="A627" s="47"/>
      <c r="B627" s="41">
        <v>1</v>
      </c>
      <c r="C627" s="42" t="s">
        <v>36</v>
      </c>
      <c r="D627" s="43" t="s">
        <v>513</v>
      </c>
      <c r="E627" s="41" t="s">
        <v>160</v>
      </c>
      <c r="F627" s="44">
        <v>0</v>
      </c>
      <c r="G627" s="44">
        <v>0</v>
      </c>
      <c r="H627" s="45">
        <v>0</v>
      </c>
      <c r="I627" s="44">
        <v>0</v>
      </c>
      <c r="J627" s="44">
        <v>0</v>
      </c>
      <c r="K627" s="44">
        <v>0</v>
      </c>
      <c r="L627" s="44">
        <v>0</v>
      </c>
      <c r="M627" s="44">
        <v>0</v>
      </c>
      <c r="N627" s="45">
        <v>2</v>
      </c>
      <c r="O627" s="44">
        <v>0</v>
      </c>
      <c r="P627" s="44">
        <v>0</v>
      </c>
      <c r="Q627" s="44">
        <v>34</v>
      </c>
      <c r="R627" s="44">
        <v>0</v>
      </c>
      <c r="S627" s="45">
        <v>0</v>
      </c>
      <c r="T627" s="44">
        <v>0</v>
      </c>
      <c r="U627" s="31"/>
    </row>
    <row r="628" ht="15.75" customHeight="1">
      <c r="A628" s="47"/>
      <c r="B628" s="46"/>
      <c r="C628" s="42"/>
      <c r="D628" s="43" t="s">
        <v>220</v>
      </c>
      <c r="E628" s="46"/>
      <c r="F628" s="44"/>
      <c r="G628" s="44"/>
      <c r="H628" s="45"/>
      <c r="I628" s="44"/>
      <c r="J628" s="44"/>
      <c r="K628" s="44"/>
      <c r="L628" s="44"/>
      <c r="M628" s="44"/>
      <c r="N628" s="45"/>
      <c r="O628" s="44"/>
      <c r="P628" s="44"/>
      <c r="Q628" s="44"/>
      <c r="R628" s="44"/>
      <c r="S628" s="45"/>
      <c r="T628" s="44"/>
      <c r="U628" s="31"/>
    </row>
    <row r="629" ht="15.75" customHeight="1">
      <c r="A629" s="47"/>
      <c r="B629" s="41">
        <v>1</v>
      </c>
      <c r="C629" s="42" t="s">
        <v>36</v>
      </c>
      <c r="D629" s="43" t="s">
        <v>514</v>
      </c>
      <c r="E629" s="41" t="s">
        <v>160</v>
      </c>
      <c r="F629" s="44">
        <v>0</v>
      </c>
      <c r="G629" s="44">
        <v>0</v>
      </c>
      <c r="H629" s="45">
        <v>0</v>
      </c>
      <c r="I629" s="44">
        <v>0</v>
      </c>
      <c r="J629" s="44">
        <v>0</v>
      </c>
      <c r="K629" s="44">
        <v>0</v>
      </c>
      <c r="L629" s="44">
        <v>0</v>
      </c>
      <c r="M629" s="44">
        <v>0</v>
      </c>
      <c r="N629" s="45">
        <v>2</v>
      </c>
      <c r="O629" s="44">
        <v>0</v>
      </c>
      <c r="P629" s="44">
        <v>0</v>
      </c>
      <c r="Q629" s="44">
        <v>34</v>
      </c>
      <c r="R629" s="44">
        <v>0</v>
      </c>
      <c r="S629" s="45">
        <v>0</v>
      </c>
      <c r="T629" s="44">
        <v>0</v>
      </c>
      <c r="U629" s="31"/>
    </row>
    <row r="630" ht="15.75" customHeight="1">
      <c r="A630" s="47"/>
      <c r="B630" s="46"/>
      <c r="C630" s="42"/>
      <c r="D630" s="43" t="s">
        <v>222</v>
      </c>
      <c r="E630" s="46"/>
      <c r="F630" s="44"/>
      <c r="G630" s="44"/>
      <c r="H630" s="45"/>
      <c r="I630" s="44"/>
      <c r="J630" s="44"/>
      <c r="K630" s="44"/>
      <c r="L630" s="44"/>
      <c r="M630" s="44"/>
      <c r="N630" s="45"/>
      <c r="O630" s="44"/>
      <c r="P630" s="44"/>
      <c r="Q630" s="44"/>
      <c r="R630" s="44"/>
      <c r="S630" s="45"/>
      <c r="T630" s="44"/>
      <c r="U630" s="31"/>
    </row>
    <row r="631" ht="15.75" customHeight="1">
      <c r="A631" s="47"/>
      <c r="B631" s="41">
        <v>1</v>
      </c>
      <c r="C631" s="42" t="s">
        <v>36</v>
      </c>
      <c r="D631" s="43" t="s">
        <v>515</v>
      </c>
      <c r="E631" s="41" t="s">
        <v>160</v>
      </c>
      <c r="F631" s="44">
        <v>0</v>
      </c>
      <c r="G631" s="44">
        <v>0</v>
      </c>
      <c r="H631" s="45">
        <v>0</v>
      </c>
      <c r="I631" s="44">
        <v>0</v>
      </c>
      <c r="J631" s="44">
        <v>0</v>
      </c>
      <c r="K631" s="44">
        <v>0</v>
      </c>
      <c r="L631" s="44">
        <v>0</v>
      </c>
      <c r="M631" s="44">
        <v>0</v>
      </c>
      <c r="N631" s="45">
        <v>2</v>
      </c>
      <c r="O631" s="44">
        <v>0</v>
      </c>
      <c r="P631" s="44">
        <v>0</v>
      </c>
      <c r="Q631" s="44">
        <v>34</v>
      </c>
      <c r="R631" s="44">
        <v>0</v>
      </c>
      <c r="S631" s="45">
        <v>0</v>
      </c>
      <c r="T631" s="44">
        <v>0</v>
      </c>
      <c r="U631" s="31"/>
    </row>
    <row r="632" ht="15.75" customHeight="1">
      <c r="A632" s="47"/>
      <c r="B632" s="46"/>
      <c r="C632" s="42"/>
      <c r="D632" s="43" t="s">
        <v>224</v>
      </c>
      <c r="E632" s="46"/>
      <c r="F632" s="44"/>
      <c r="G632" s="44"/>
      <c r="H632" s="45"/>
      <c r="I632" s="44"/>
      <c r="J632" s="44"/>
      <c r="K632" s="44"/>
      <c r="L632" s="44"/>
      <c r="M632" s="44"/>
      <c r="N632" s="45"/>
      <c r="O632" s="44"/>
      <c r="P632" s="44"/>
      <c r="Q632" s="44"/>
      <c r="R632" s="44"/>
      <c r="S632" s="45"/>
      <c r="T632" s="44"/>
      <c r="U632" s="31"/>
    </row>
    <row r="633" ht="15.75" customHeight="1">
      <c r="A633" s="47"/>
      <c r="B633" s="41">
        <v>1</v>
      </c>
      <c r="C633" s="42" t="s">
        <v>36</v>
      </c>
      <c r="D633" s="43" t="s">
        <v>516</v>
      </c>
      <c r="E633" s="41" t="s">
        <v>160</v>
      </c>
      <c r="F633" s="44">
        <v>0</v>
      </c>
      <c r="G633" s="44">
        <v>0</v>
      </c>
      <c r="H633" s="45">
        <v>0</v>
      </c>
      <c r="I633" s="44">
        <v>0</v>
      </c>
      <c r="J633" s="44">
        <v>0</v>
      </c>
      <c r="K633" s="44">
        <v>0</v>
      </c>
      <c r="L633" s="44">
        <v>0</v>
      </c>
      <c r="M633" s="44">
        <v>0</v>
      </c>
      <c r="N633" s="45">
        <v>2</v>
      </c>
      <c r="O633" s="44">
        <v>0</v>
      </c>
      <c r="P633" s="44">
        <v>0</v>
      </c>
      <c r="Q633" s="44">
        <v>34</v>
      </c>
      <c r="R633" s="44">
        <v>0</v>
      </c>
      <c r="S633" s="45">
        <v>0</v>
      </c>
      <c r="T633" s="44">
        <v>0</v>
      </c>
      <c r="U633" s="31"/>
    </row>
    <row r="634" ht="15.75" customHeight="1">
      <c r="A634" s="47"/>
      <c r="B634" s="46"/>
      <c r="C634" s="42"/>
      <c r="D634" s="43" t="s">
        <v>226</v>
      </c>
      <c r="E634" s="46"/>
      <c r="F634" s="44"/>
      <c r="G634" s="44"/>
      <c r="H634" s="45"/>
      <c r="I634" s="44"/>
      <c r="J634" s="44"/>
      <c r="K634" s="44"/>
      <c r="L634" s="44"/>
      <c r="M634" s="44"/>
      <c r="N634" s="45"/>
      <c r="O634" s="44"/>
      <c r="P634" s="44"/>
      <c r="Q634" s="44"/>
      <c r="R634" s="44"/>
      <c r="S634" s="45"/>
      <c r="T634" s="44"/>
      <c r="U634" s="31"/>
    </row>
    <row r="635" ht="15.75" customHeight="1">
      <c r="A635" s="47"/>
      <c r="B635" s="41">
        <v>1</v>
      </c>
      <c r="C635" s="42" t="s">
        <v>36</v>
      </c>
      <c r="D635" s="43" t="s">
        <v>517</v>
      </c>
      <c r="E635" s="41" t="s">
        <v>160</v>
      </c>
      <c r="F635" s="44">
        <v>0</v>
      </c>
      <c r="G635" s="44">
        <v>0</v>
      </c>
      <c r="H635" s="45">
        <v>0</v>
      </c>
      <c r="I635" s="44">
        <v>0</v>
      </c>
      <c r="J635" s="44">
        <v>0</v>
      </c>
      <c r="K635" s="44">
        <v>0</v>
      </c>
      <c r="L635" s="44">
        <v>0</v>
      </c>
      <c r="M635" s="44">
        <v>0</v>
      </c>
      <c r="N635" s="45">
        <v>2</v>
      </c>
      <c r="O635" s="44">
        <v>0</v>
      </c>
      <c r="P635" s="44">
        <v>0</v>
      </c>
      <c r="Q635" s="44">
        <v>34</v>
      </c>
      <c r="R635" s="44">
        <v>0</v>
      </c>
      <c r="S635" s="45">
        <v>0</v>
      </c>
      <c r="T635" s="44">
        <v>0</v>
      </c>
      <c r="U635" s="31"/>
    </row>
    <row r="636" ht="15.75" customHeight="1">
      <c r="A636" s="46"/>
      <c r="B636" s="46"/>
      <c r="C636" s="42"/>
      <c r="D636" s="43" t="s">
        <v>228</v>
      </c>
      <c r="E636" s="46"/>
      <c r="F636" s="44"/>
      <c r="G636" s="44"/>
      <c r="H636" s="45"/>
      <c r="I636" s="44"/>
      <c r="J636" s="44"/>
      <c r="K636" s="44"/>
      <c r="L636" s="44"/>
      <c r="M636" s="44"/>
      <c r="N636" s="45"/>
      <c r="O636" s="44"/>
      <c r="P636" s="44"/>
      <c r="Q636" s="44"/>
      <c r="R636" s="44"/>
      <c r="S636" s="45"/>
      <c r="T636" s="44"/>
      <c r="U636" s="31"/>
    </row>
    <row r="637" ht="15.75" customHeight="1">
      <c r="A637" s="41" t="s">
        <v>153</v>
      </c>
      <c r="B637" s="44" t="s">
        <v>205</v>
      </c>
      <c r="C637" s="42" t="s">
        <v>36</v>
      </c>
      <c r="D637" s="43" t="s">
        <v>206</v>
      </c>
      <c r="E637" s="44" t="s">
        <v>207</v>
      </c>
      <c r="F637" s="52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4"/>
      <c r="U637" s="31"/>
    </row>
    <row r="638" ht="15.75" customHeight="1">
      <c r="A638" s="47"/>
      <c r="B638" s="44" t="s">
        <v>231</v>
      </c>
      <c r="C638" s="42"/>
      <c r="D638" s="43" t="s">
        <v>518</v>
      </c>
      <c r="E638" s="44" t="s">
        <v>233</v>
      </c>
      <c r="F638" s="5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56"/>
      <c r="U638" s="31"/>
    </row>
    <row r="639" ht="15.75" customHeight="1">
      <c r="A639" s="47"/>
      <c r="B639" s="44"/>
      <c r="C639" s="42"/>
      <c r="D639" s="43" t="s">
        <v>519</v>
      </c>
      <c r="E639" s="44"/>
      <c r="F639" s="57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9"/>
      <c r="U639" s="31"/>
    </row>
    <row r="640" ht="15.75" customHeight="1">
      <c r="A640" s="47"/>
      <c r="B640" s="44"/>
      <c r="C640" s="42"/>
      <c r="D640" s="43" t="s">
        <v>235</v>
      </c>
      <c r="E640" s="44" t="s">
        <v>213</v>
      </c>
      <c r="F640" s="52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4"/>
      <c r="U640" s="31"/>
    </row>
    <row r="641" ht="15.75" customHeight="1">
      <c r="A641" s="46"/>
      <c r="B641" s="44"/>
      <c r="C641" s="42"/>
      <c r="D641" s="43"/>
      <c r="E641" s="44" t="s">
        <v>214</v>
      </c>
      <c r="F641" s="57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9"/>
      <c r="U641" s="31"/>
    </row>
    <row r="642" ht="15.75" customHeight="1">
      <c r="A642" s="41"/>
      <c r="B642" s="41">
        <v>1</v>
      </c>
      <c r="C642" s="42" t="s">
        <v>36</v>
      </c>
      <c r="D642" s="43" t="s">
        <v>520</v>
      </c>
      <c r="E642" s="41" t="s">
        <v>160</v>
      </c>
      <c r="F642" s="44">
        <v>0</v>
      </c>
      <c r="G642" s="44">
        <v>0</v>
      </c>
      <c r="H642" s="45">
        <v>0</v>
      </c>
      <c r="I642" s="44">
        <v>0</v>
      </c>
      <c r="J642" s="44">
        <v>0</v>
      </c>
      <c r="K642" s="44">
        <v>0</v>
      </c>
      <c r="L642" s="44">
        <v>0</v>
      </c>
      <c r="M642" s="44">
        <v>0</v>
      </c>
      <c r="N642" s="45">
        <v>2</v>
      </c>
      <c r="O642" s="44">
        <v>0</v>
      </c>
      <c r="P642" s="44">
        <v>0</v>
      </c>
      <c r="Q642" s="44">
        <v>34</v>
      </c>
      <c r="R642" s="44">
        <v>0</v>
      </c>
      <c r="S642" s="45">
        <v>0</v>
      </c>
      <c r="T642" s="44">
        <v>0</v>
      </c>
      <c r="U642" s="31"/>
    </row>
    <row r="643" ht="15.75" customHeight="1">
      <c r="A643" s="47"/>
      <c r="B643" s="46"/>
      <c r="C643" s="42"/>
      <c r="D643" s="43" t="s">
        <v>237</v>
      </c>
      <c r="E643" s="46"/>
      <c r="F643" s="44"/>
      <c r="G643" s="44"/>
      <c r="H643" s="45"/>
      <c r="I643" s="44"/>
      <c r="J643" s="44"/>
      <c r="K643" s="44"/>
      <c r="L643" s="44"/>
      <c r="M643" s="44"/>
      <c r="N643" s="45"/>
      <c r="O643" s="44"/>
      <c r="P643" s="44"/>
      <c r="Q643" s="44"/>
      <c r="R643" s="44"/>
      <c r="S643" s="45"/>
      <c r="T643" s="44"/>
      <c r="U643" s="31"/>
    </row>
    <row r="644" ht="15.75" customHeight="1">
      <c r="A644" s="47"/>
      <c r="B644" s="41">
        <v>1</v>
      </c>
      <c r="C644" s="42" t="s">
        <v>36</v>
      </c>
      <c r="D644" s="43" t="s">
        <v>521</v>
      </c>
      <c r="E644" s="41" t="s">
        <v>160</v>
      </c>
      <c r="F644" s="44">
        <v>0</v>
      </c>
      <c r="G644" s="44">
        <v>0</v>
      </c>
      <c r="H644" s="45">
        <v>0</v>
      </c>
      <c r="I644" s="44">
        <v>0</v>
      </c>
      <c r="J644" s="44">
        <v>0</v>
      </c>
      <c r="K644" s="44">
        <v>0</v>
      </c>
      <c r="L644" s="44">
        <v>0</v>
      </c>
      <c r="M644" s="44">
        <v>0</v>
      </c>
      <c r="N644" s="45">
        <v>2</v>
      </c>
      <c r="O644" s="44">
        <v>0</v>
      </c>
      <c r="P644" s="44">
        <v>0</v>
      </c>
      <c r="Q644" s="44">
        <v>34</v>
      </c>
      <c r="R644" s="44">
        <v>0</v>
      </c>
      <c r="S644" s="45">
        <v>0</v>
      </c>
      <c r="T644" s="44">
        <v>0</v>
      </c>
      <c r="U644" s="31"/>
    </row>
    <row r="645" ht="15.75" customHeight="1">
      <c r="A645" s="46"/>
      <c r="B645" s="46"/>
      <c r="C645" s="42"/>
      <c r="D645" s="43" t="s">
        <v>239</v>
      </c>
      <c r="E645" s="46"/>
      <c r="F645" s="44"/>
      <c r="G645" s="44"/>
      <c r="H645" s="45"/>
      <c r="I645" s="44"/>
      <c r="J645" s="44"/>
      <c r="K645" s="44"/>
      <c r="L645" s="44"/>
      <c r="M645" s="44"/>
      <c r="N645" s="45"/>
      <c r="O645" s="44"/>
      <c r="P645" s="44"/>
      <c r="Q645" s="44"/>
      <c r="R645" s="44"/>
      <c r="S645" s="45"/>
      <c r="T645" s="44"/>
      <c r="U645" s="31"/>
    </row>
    <row r="646" ht="17.25" customHeight="1">
      <c r="A646" s="39" t="s">
        <v>522</v>
      </c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6"/>
      <c r="U646" s="31"/>
    </row>
    <row r="647" ht="17.25" customHeight="1">
      <c r="A647" s="40" t="s">
        <v>152</v>
      </c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6"/>
      <c r="U647" s="31"/>
    </row>
    <row r="648" ht="15.75" customHeight="1">
      <c r="A648" s="41" t="s">
        <v>248</v>
      </c>
      <c r="B648" s="41">
        <f>SUM(F648:S648)/36</f>
        <v>7</v>
      </c>
      <c r="C648" s="42" t="s">
        <v>523</v>
      </c>
      <c r="D648" s="43" t="s">
        <v>524</v>
      </c>
      <c r="E648" s="41" t="s">
        <v>160</v>
      </c>
      <c r="F648" s="44">
        <v>0</v>
      </c>
      <c r="G648" s="44">
        <v>0</v>
      </c>
      <c r="H648" s="45">
        <v>0</v>
      </c>
      <c r="I648" s="44">
        <v>0</v>
      </c>
      <c r="J648" s="44">
        <v>0</v>
      </c>
      <c r="K648" s="44">
        <v>0</v>
      </c>
      <c r="L648" s="44">
        <v>0</v>
      </c>
      <c r="M648" s="44">
        <v>0</v>
      </c>
      <c r="N648" s="45">
        <v>2</v>
      </c>
      <c r="O648" s="44">
        <v>0</v>
      </c>
      <c r="P648" s="44">
        <v>0</v>
      </c>
      <c r="Q648" s="44">
        <v>240</v>
      </c>
      <c r="R648" s="44">
        <v>0</v>
      </c>
      <c r="S648" s="45">
        <v>10</v>
      </c>
      <c r="T648" s="44">
        <v>0</v>
      </c>
      <c r="U648" s="31"/>
    </row>
    <row r="649" ht="15.75" customHeight="1">
      <c r="A649" s="47"/>
      <c r="B649" s="47"/>
      <c r="C649" s="42"/>
      <c r="D649" s="43" t="s">
        <v>525</v>
      </c>
      <c r="E649" s="47"/>
      <c r="F649" s="44"/>
      <c r="G649" s="44"/>
      <c r="H649" s="45"/>
      <c r="I649" s="44"/>
      <c r="J649" s="44"/>
      <c r="K649" s="44"/>
      <c r="L649" s="44"/>
      <c r="M649" s="44"/>
      <c r="N649" s="45"/>
      <c r="O649" s="44"/>
      <c r="P649" s="44"/>
      <c r="Q649" s="44"/>
      <c r="R649" s="44"/>
      <c r="S649" s="45"/>
      <c r="T649" s="44"/>
      <c r="U649" s="31"/>
    </row>
    <row r="650" ht="15.75" customHeight="1">
      <c r="A650" s="47"/>
      <c r="B650" s="47"/>
      <c r="C650" s="42" t="s">
        <v>523</v>
      </c>
      <c r="D650" s="43" t="s">
        <v>526</v>
      </c>
      <c r="E650" s="47"/>
      <c r="F650" s="44">
        <v>0</v>
      </c>
      <c r="G650" s="44">
        <v>0</v>
      </c>
      <c r="H650" s="45">
        <v>0</v>
      </c>
      <c r="I650" s="44">
        <v>0</v>
      </c>
      <c r="J650" s="44">
        <v>0</v>
      </c>
      <c r="K650" s="44">
        <v>0</v>
      </c>
      <c r="L650" s="44">
        <v>0</v>
      </c>
      <c r="M650" s="44">
        <v>0</v>
      </c>
      <c r="N650" s="45">
        <v>2</v>
      </c>
      <c r="O650" s="44">
        <v>0</v>
      </c>
      <c r="P650" s="44">
        <v>0</v>
      </c>
      <c r="Q650" s="44">
        <v>240</v>
      </c>
      <c r="R650" s="44">
        <v>0</v>
      </c>
      <c r="S650" s="45">
        <v>10</v>
      </c>
      <c r="T650" s="44">
        <v>0</v>
      </c>
      <c r="U650" s="31"/>
    </row>
    <row r="651" ht="15.75" customHeight="1">
      <c r="A651" s="46"/>
      <c r="B651" s="46"/>
      <c r="C651" s="42"/>
      <c r="D651" s="43" t="s">
        <v>527</v>
      </c>
      <c r="E651" s="46"/>
      <c r="F651" s="44"/>
      <c r="G651" s="44"/>
      <c r="H651" s="45"/>
      <c r="I651" s="44"/>
      <c r="J651" s="44"/>
      <c r="K651" s="44"/>
      <c r="L651" s="44"/>
      <c r="M651" s="44"/>
      <c r="N651" s="45"/>
      <c r="O651" s="44"/>
      <c r="P651" s="44"/>
      <c r="Q651" s="44"/>
      <c r="R651" s="44"/>
      <c r="S651" s="45"/>
      <c r="T651" s="44"/>
      <c r="U651" s="31"/>
    </row>
    <row r="652" ht="15.75" customHeight="1">
      <c r="A652" s="41" t="s">
        <v>153</v>
      </c>
      <c r="B652" s="41">
        <f>SUM(F652:S652)/36</f>
        <v>3</v>
      </c>
      <c r="C652" s="42" t="s">
        <v>528</v>
      </c>
      <c r="D652" s="43" t="s">
        <v>529</v>
      </c>
      <c r="E652" s="41" t="s">
        <v>160</v>
      </c>
      <c r="F652" s="44">
        <v>18</v>
      </c>
      <c r="G652" s="44">
        <v>0</v>
      </c>
      <c r="H652" s="45">
        <v>0</v>
      </c>
      <c r="I652" s="44">
        <v>0</v>
      </c>
      <c r="J652" s="44">
        <v>0</v>
      </c>
      <c r="K652" s="44">
        <v>0</v>
      </c>
      <c r="L652" s="44">
        <v>0</v>
      </c>
      <c r="M652" s="44">
        <v>0</v>
      </c>
      <c r="N652" s="45">
        <v>2</v>
      </c>
      <c r="O652" s="44">
        <v>0</v>
      </c>
      <c r="P652" s="44">
        <v>0</v>
      </c>
      <c r="Q652" s="44">
        <v>81</v>
      </c>
      <c r="R652" s="44">
        <v>0</v>
      </c>
      <c r="S652" s="45">
        <v>7</v>
      </c>
      <c r="T652" s="44">
        <v>0</v>
      </c>
      <c r="U652" s="31"/>
    </row>
    <row r="653" ht="15.75" customHeight="1">
      <c r="A653" s="46"/>
      <c r="B653" s="46"/>
      <c r="C653" s="42"/>
      <c r="D653" s="43" t="s">
        <v>530</v>
      </c>
      <c r="E653" s="46"/>
      <c r="F653" s="44"/>
      <c r="G653" s="44"/>
      <c r="H653" s="45"/>
      <c r="I653" s="44"/>
      <c r="J653" s="44"/>
      <c r="K653" s="44"/>
      <c r="L653" s="44"/>
      <c r="M653" s="44"/>
      <c r="N653" s="45"/>
      <c r="O653" s="44"/>
      <c r="P653" s="44"/>
      <c r="Q653" s="44"/>
      <c r="R653" s="44"/>
      <c r="S653" s="45"/>
      <c r="T653" s="44"/>
      <c r="U653" s="31"/>
    </row>
    <row r="654" ht="15.75" customHeight="1">
      <c r="A654" s="41" t="s">
        <v>153</v>
      </c>
      <c r="B654" s="41">
        <f>SUM(F654:S654)/36</f>
        <v>2</v>
      </c>
      <c r="C654" s="42" t="s">
        <v>531</v>
      </c>
      <c r="D654" s="43" t="s">
        <v>532</v>
      </c>
      <c r="E654" s="41" t="s">
        <v>160</v>
      </c>
      <c r="F654" s="44">
        <v>0</v>
      </c>
      <c r="G654" s="44">
        <v>18</v>
      </c>
      <c r="H654" s="45">
        <v>0</v>
      </c>
      <c r="I654" s="44">
        <v>0</v>
      </c>
      <c r="J654" s="44">
        <v>0</v>
      </c>
      <c r="K654" s="44">
        <v>0</v>
      </c>
      <c r="L654" s="44">
        <v>0</v>
      </c>
      <c r="M654" s="44">
        <v>0</v>
      </c>
      <c r="N654" s="45">
        <v>2</v>
      </c>
      <c r="O654" s="44">
        <v>0</v>
      </c>
      <c r="P654" s="44">
        <v>0</v>
      </c>
      <c r="Q654" s="44">
        <v>45</v>
      </c>
      <c r="R654" s="44">
        <v>0</v>
      </c>
      <c r="S654" s="45">
        <v>7</v>
      </c>
      <c r="T654" s="44">
        <v>18</v>
      </c>
      <c r="U654" s="31"/>
    </row>
    <row r="655" ht="15.75" customHeight="1">
      <c r="A655" s="46"/>
      <c r="B655" s="46"/>
      <c r="C655" s="42"/>
      <c r="D655" s="43" t="s">
        <v>533</v>
      </c>
      <c r="E655" s="46"/>
      <c r="F655" s="44"/>
      <c r="G655" s="44"/>
      <c r="H655" s="45"/>
      <c r="I655" s="44"/>
      <c r="J655" s="44"/>
      <c r="K655" s="44"/>
      <c r="L655" s="44"/>
      <c r="M655" s="44"/>
      <c r="N655" s="45"/>
      <c r="O655" s="44"/>
      <c r="P655" s="44"/>
      <c r="Q655" s="44"/>
      <c r="R655" s="44"/>
      <c r="S655" s="45"/>
      <c r="T655" s="44"/>
      <c r="U655" s="31"/>
    </row>
    <row r="656" ht="15.75" customHeight="1">
      <c r="A656" s="41" t="s">
        <v>153</v>
      </c>
      <c r="B656" s="41">
        <f>SUM(F656:S656)/36</f>
        <v>3</v>
      </c>
      <c r="C656" s="42" t="s">
        <v>534</v>
      </c>
      <c r="D656" s="43" t="s">
        <v>535</v>
      </c>
      <c r="E656" s="41" t="s">
        <v>160</v>
      </c>
      <c r="F656" s="44">
        <v>0</v>
      </c>
      <c r="G656" s="44">
        <v>36</v>
      </c>
      <c r="H656" s="45">
        <v>0</v>
      </c>
      <c r="I656" s="44">
        <v>0</v>
      </c>
      <c r="J656" s="44">
        <v>0</v>
      </c>
      <c r="K656" s="44">
        <v>0</v>
      </c>
      <c r="L656" s="44">
        <v>0</v>
      </c>
      <c r="M656" s="44">
        <v>0</v>
      </c>
      <c r="N656" s="45">
        <v>2</v>
      </c>
      <c r="O656" s="44">
        <v>0</v>
      </c>
      <c r="P656" s="44">
        <v>0</v>
      </c>
      <c r="Q656" s="44">
        <v>63</v>
      </c>
      <c r="R656" s="44">
        <v>0</v>
      </c>
      <c r="S656" s="45">
        <v>7</v>
      </c>
      <c r="T656" s="44">
        <v>36</v>
      </c>
      <c r="U656" s="31"/>
    </row>
    <row r="657" ht="15.75" customHeight="1">
      <c r="A657" s="46"/>
      <c r="B657" s="46"/>
      <c r="C657" s="42"/>
      <c r="D657" s="43" t="s">
        <v>536</v>
      </c>
      <c r="E657" s="46"/>
      <c r="F657" s="44"/>
      <c r="G657" s="44"/>
      <c r="H657" s="45"/>
      <c r="I657" s="44"/>
      <c r="J657" s="44"/>
      <c r="K657" s="44"/>
      <c r="L657" s="44"/>
      <c r="M657" s="44"/>
      <c r="N657" s="45"/>
      <c r="O657" s="44"/>
      <c r="P657" s="44"/>
      <c r="Q657" s="44"/>
      <c r="R657" s="44"/>
      <c r="S657" s="45"/>
      <c r="T657" s="44"/>
      <c r="U657" s="31"/>
    </row>
    <row r="658" ht="17.25" customHeight="1">
      <c r="A658" s="60" t="s">
        <v>537</v>
      </c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50"/>
      <c r="U658" s="31"/>
    </row>
    <row r="659" ht="15.75" customHeight="1">
      <c r="A659" s="41" t="s">
        <v>153</v>
      </c>
      <c r="B659" s="41">
        <f>SUM(F659:S659)/36</f>
        <v>3</v>
      </c>
      <c r="C659" s="42" t="s">
        <v>479</v>
      </c>
      <c r="D659" s="43" t="s">
        <v>538</v>
      </c>
      <c r="E659" s="41" t="s">
        <v>169</v>
      </c>
      <c r="F659" s="44">
        <v>0</v>
      </c>
      <c r="G659" s="44">
        <v>18</v>
      </c>
      <c r="H659" s="45">
        <v>2</v>
      </c>
      <c r="I659" s="44">
        <v>18</v>
      </c>
      <c r="J659" s="44">
        <v>0</v>
      </c>
      <c r="K659" s="44">
        <v>0</v>
      </c>
      <c r="L659" s="44">
        <v>0</v>
      </c>
      <c r="M659" s="44">
        <v>0</v>
      </c>
      <c r="N659" s="45">
        <v>2</v>
      </c>
      <c r="O659" s="44">
        <v>0</v>
      </c>
      <c r="P659" s="44">
        <v>0</v>
      </c>
      <c r="Q659" s="44">
        <v>44</v>
      </c>
      <c r="R659" s="44">
        <v>0</v>
      </c>
      <c r="S659" s="45">
        <v>24</v>
      </c>
      <c r="T659" s="44">
        <v>38</v>
      </c>
      <c r="U659" s="31"/>
    </row>
    <row r="660" ht="15.75" customHeight="1">
      <c r="A660" s="46"/>
      <c r="B660" s="46"/>
      <c r="C660" s="42"/>
      <c r="D660" s="43" t="s">
        <v>539</v>
      </c>
      <c r="E660" s="46"/>
      <c r="F660" s="44"/>
      <c r="G660" s="44"/>
      <c r="H660" s="45"/>
      <c r="I660" s="44"/>
      <c r="J660" s="44"/>
      <c r="K660" s="44"/>
      <c r="L660" s="44"/>
      <c r="M660" s="44"/>
      <c r="N660" s="45"/>
      <c r="O660" s="44"/>
      <c r="P660" s="44"/>
      <c r="Q660" s="44"/>
      <c r="R660" s="44"/>
      <c r="S660" s="45"/>
      <c r="T660" s="44"/>
      <c r="U660" s="31"/>
    </row>
    <row r="661" ht="17.25" customHeight="1">
      <c r="A661" s="60" t="s">
        <v>247</v>
      </c>
      <c r="B661" s="49"/>
      <c r="C661" s="49"/>
      <c r="D661" s="49"/>
      <c r="E661" s="49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4"/>
      <c r="U661" s="31"/>
    </row>
    <row r="662" ht="15.75" customHeight="1">
      <c r="A662" s="41" t="s">
        <v>153</v>
      </c>
      <c r="B662" s="41">
        <f>SUM(F662:S662)/36</f>
        <v>3</v>
      </c>
      <c r="C662" s="42" t="s">
        <v>540</v>
      </c>
      <c r="D662" s="43" t="s">
        <v>541</v>
      </c>
      <c r="E662" s="52" t="s">
        <v>169</v>
      </c>
      <c r="F662" s="61">
        <v>0</v>
      </c>
      <c r="G662" s="61">
        <v>18</v>
      </c>
      <c r="H662" s="68">
        <v>2</v>
      </c>
      <c r="I662" s="61">
        <v>18</v>
      </c>
      <c r="J662" s="61">
        <v>0</v>
      </c>
      <c r="K662" s="61">
        <v>0</v>
      </c>
      <c r="L662" s="61">
        <v>0</v>
      </c>
      <c r="M662" s="61">
        <v>0</v>
      </c>
      <c r="N662" s="68">
        <v>2</v>
      </c>
      <c r="O662" s="61">
        <v>0</v>
      </c>
      <c r="P662" s="61">
        <v>0</v>
      </c>
      <c r="Q662" s="61">
        <v>44</v>
      </c>
      <c r="R662" s="61">
        <v>0</v>
      </c>
      <c r="S662" s="68">
        <v>24</v>
      </c>
      <c r="T662" s="61">
        <v>38</v>
      </c>
      <c r="U662" s="31"/>
    </row>
    <row r="663" ht="15.75" customHeight="1">
      <c r="A663" s="46"/>
      <c r="B663" s="46"/>
      <c r="C663" s="42"/>
      <c r="D663" s="43" t="s">
        <v>542</v>
      </c>
      <c r="E663" s="46"/>
      <c r="F663" s="62"/>
      <c r="G663" s="62"/>
      <c r="H663" s="63"/>
      <c r="I663" s="62"/>
      <c r="J663" s="62"/>
      <c r="K663" s="62"/>
      <c r="L663" s="62"/>
      <c r="M663" s="62"/>
      <c r="N663" s="63"/>
      <c r="O663" s="62"/>
      <c r="P663" s="62"/>
      <c r="Q663" s="62"/>
      <c r="R663" s="62"/>
      <c r="S663" s="63"/>
      <c r="T663" s="62"/>
      <c r="U663" s="31"/>
    </row>
    <row r="664" ht="17.25" customHeight="1">
      <c r="A664" s="40" t="s">
        <v>202</v>
      </c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6"/>
      <c r="U664" s="31"/>
    </row>
    <row r="665" ht="17.25" customHeight="1">
      <c r="A665" s="60" t="s">
        <v>537</v>
      </c>
      <c r="B665" s="49"/>
      <c r="C665" s="53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50"/>
      <c r="U665" s="31"/>
    </row>
    <row r="666" ht="15.75" customHeight="1">
      <c r="A666" s="41" t="s">
        <v>153</v>
      </c>
      <c r="B666" s="52">
        <v>3</v>
      </c>
      <c r="C666" s="64" t="s">
        <v>543</v>
      </c>
      <c r="D666" s="65" t="s">
        <v>544</v>
      </c>
      <c r="E666" s="41" t="s">
        <v>169</v>
      </c>
      <c r="F666" s="44">
        <v>18</v>
      </c>
      <c r="G666" s="44">
        <v>0</v>
      </c>
      <c r="H666" s="45">
        <v>2</v>
      </c>
      <c r="I666" s="44">
        <v>0</v>
      </c>
      <c r="J666" s="44">
        <v>0</v>
      </c>
      <c r="K666" s="44">
        <v>0</v>
      </c>
      <c r="L666" s="44">
        <v>0</v>
      </c>
      <c r="M666" s="44">
        <v>0</v>
      </c>
      <c r="N666" s="45">
        <v>2</v>
      </c>
      <c r="O666" s="44">
        <v>0</v>
      </c>
      <c r="P666" s="44">
        <v>0</v>
      </c>
      <c r="Q666" s="44">
        <v>62</v>
      </c>
      <c r="R666" s="44">
        <v>0</v>
      </c>
      <c r="S666" s="45">
        <v>24</v>
      </c>
      <c r="T666" s="44">
        <v>0</v>
      </c>
      <c r="U666" s="31"/>
    </row>
    <row r="667" ht="15.75" customHeight="1">
      <c r="A667" s="47"/>
      <c r="B667" s="55"/>
      <c r="C667" s="66"/>
      <c r="D667" s="65" t="s">
        <v>545</v>
      </c>
      <c r="E667" s="47"/>
      <c r="F667" s="44"/>
      <c r="G667" s="44"/>
      <c r="H667" s="45"/>
      <c r="I667" s="44"/>
      <c r="J667" s="44"/>
      <c r="K667" s="44"/>
      <c r="L667" s="44"/>
      <c r="M667" s="44"/>
      <c r="N667" s="45"/>
      <c r="O667" s="44"/>
      <c r="P667" s="44"/>
      <c r="Q667" s="44"/>
      <c r="R667" s="44"/>
      <c r="S667" s="45"/>
      <c r="T667" s="44"/>
      <c r="U667" s="31"/>
    </row>
    <row r="668" ht="15.75" customHeight="1">
      <c r="A668" s="47"/>
      <c r="B668" s="55"/>
      <c r="C668" s="64" t="s">
        <v>491</v>
      </c>
      <c r="D668" s="65" t="s">
        <v>546</v>
      </c>
      <c r="E668" s="47"/>
      <c r="F668" s="44">
        <v>18</v>
      </c>
      <c r="G668" s="44">
        <v>0</v>
      </c>
      <c r="H668" s="45">
        <v>2</v>
      </c>
      <c r="I668" s="44">
        <v>0</v>
      </c>
      <c r="J668" s="44">
        <v>0</v>
      </c>
      <c r="K668" s="44">
        <v>0</v>
      </c>
      <c r="L668" s="44">
        <v>0</v>
      </c>
      <c r="M668" s="44">
        <v>0</v>
      </c>
      <c r="N668" s="45">
        <v>2</v>
      </c>
      <c r="O668" s="44">
        <v>0</v>
      </c>
      <c r="P668" s="44">
        <v>0</v>
      </c>
      <c r="Q668" s="44">
        <v>62</v>
      </c>
      <c r="R668" s="44">
        <v>0</v>
      </c>
      <c r="S668" s="45">
        <v>24</v>
      </c>
      <c r="T668" s="44">
        <v>0</v>
      </c>
      <c r="U668" s="31"/>
    </row>
    <row r="669" ht="15.75" customHeight="1">
      <c r="A669" s="46"/>
      <c r="B669" s="57"/>
      <c r="C669" s="66"/>
      <c r="D669" s="65" t="s">
        <v>493</v>
      </c>
      <c r="E669" s="46"/>
      <c r="F669" s="44"/>
      <c r="G669" s="44"/>
      <c r="H669" s="45"/>
      <c r="I669" s="44"/>
      <c r="J669" s="44"/>
      <c r="K669" s="44"/>
      <c r="L669" s="44"/>
      <c r="M669" s="44"/>
      <c r="N669" s="45"/>
      <c r="O669" s="44"/>
      <c r="P669" s="44"/>
      <c r="Q669" s="44"/>
      <c r="R669" s="44"/>
      <c r="S669" s="45"/>
      <c r="T669" s="44"/>
      <c r="U669" s="31"/>
    </row>
    <row r="670" ht="17.25" customHeight="1">
      <c r="A670" s="60" t="s">
        <v>247</v>
      </c>
      <c r="B670" s="49"/>
      <c r="C670" s="67"/>
      <c r="D670" s="49"/>
      <c r="E670" s="49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4"/>
      <c r="U670" s="31"/>
    </row>
    <row r="671" ht="15.75" customHeight="1">
      <c r="A671" s="41" t="s">
        <v>153</v>
      </c>
      <c r="B671" s="52">
        <v>3</v>
      </c>
      <c r="C671" s="64" t="s">
        <v>547</v>
      </c>
      <c r="D671" s="65" t="s">
        <v>548</v>
      </c>
      <c r="E671" s="52" t="s">
        <v>169</v>
      </c>
      <c r="F671" s="61">
        <v>0</v>
      </c>
      <c r="G671" s="61">
        <v>18</v>
      </c>
      <c r="H671" s="68">
        <v>2</v>
      </c>
      <c r="I671" s="61">
        <v>0</v>
      </c>
      <c r="J671" s="61">
        <v>0</v>
      </c>
      <c r="K671" s="61">
        <v>0</v>
      </c>
      <c r="L671" s="61">
        <v>0</v>
      </c>
      <c r="M671" s="61">
        <v>0</v>
      </c>
      <c r="N671" s="68">
        <v>2</v>
      </c>
      <c r="O671" s="61">
        <v>0</v>
      </c>
      <c r="P671" s="61">
        <v>0</v>
      </c>
      <c r="Q671" s="61">
        <v>62</v>
      </c>
      <c r="R671" s="61">
        <v>0</v>
      </c>
      <c r="S671" s="68">
        <v>24</v>
      </c>
      <c r="T671" s="61">
        <v>20</v>
      </c>
      <c r="U671" s="31"/>
    </row>
    <row r="672" ht="15.75" customHeight="1">
      <c r="A672" s="47"/>
      <c r="B672" s="55"/>
      <c r="C672" s="66"/>
      <c r="D672" s="65" t="s">
        <v>549</v>
      </c>
      <c r="E672" s="55"/>
      <c r="F672" s="69"/>
      <c r="G672" s="69"/>
      <c r="H672" s="70"/>
      <c r="I672" s="69"/>
      <c r="J672" s="69"/>
      <c r="K672" s="69"/>
      <c r="L672" s="69"/>
      <c r="M672" s="69"/>
      <c r="N672" s="70"/>
      <c r="O672" s="69"/>
      <c r="P672" s="69"/>
      <c r="Q672" s="69"/>
      <c r="R672" s="69"/>
      <c r="S672" s="70"/>
      <c r="T672" s="69"/>
      <c r="U672" s="31"/>
    </row>
    <row r="673" ht="15.75" customHeight="1">
      <c r="A673" s="47"/>
      <c r="B673" s="55"/>
      <c r="C673" s="64" t="s">
        <v>550</v>
      </c>
      <c r="D673" s="65" t="s">
        <v>551</v>
      </c>
      <c r="E673" s="55"/>
      <c r="F673" s="61">
        <v>0</v>
      </c>
      <c r="G673" s="61">
        <v>18</v>
      </c>
      <c r="H673" s="68">
        <v>2</v>
      </c>
      <c r="I673" s="61">
        <v>0</v>
      </c>
      <c r="J673" s="61">
        <v>0</v>
      </c>
      <c r="K673" s="61">
        <v>0</v>
      </c>
      <c r="L673" s="61">
        <v>0</v>
      </c>
      <c r="M673" s="61">
        <v>0</v>
      </c>
      <c r="N673" s="68">
        <v>2</v>
      </c>
      <c r="O673" s="61">
        <v>0</v>
      </c>
      <c r="P673" s="61">
        <v>0</v>
      </c>
      <c r="Q673" s="61">
        <v>62</v>
      </c>
      <c r="R673" s="61">
        <v>0</v>
      </c>
      <c r="S673" s="68">
        <v>24</v>
      </c>
      <c r="T673" s="61">
        <v>20</v>
      </c>
      <c r="U673" s="31"/>
    </row>
    <row r="674" ht="15.75" customHeight="1">
      <c r="A674" s="46"/>
      <c r="B674" s="57"/>
      <c r="C674" s="66"/>
      <c r="D674" s="65" t="s">
        <v>552</v>
      </c>
      <c r="E674" s="46"/>
      <c r="F674" s="62"/>
      <c r="G674" s="62"/>
      <c r="H674" s="63"/>
      <c r="I674" s="62"/>
      <c r="J674" s="62"/>
      <c r="K674" s="62"/>
      <c r="L674" s="62"/>
      <c r="M674" s="62"/>
      <c r="N674" s="63"/>
      <c r="O674" s="62"/>
      <c r="P674" s="62"/>
      <c r="Q674" s="62"/>
      <c r="R674" s="62"/>
      <c r="S674" s="63"/>
      <c r="T674" s="62"/>
      <c r="U674" s="31"/>
    </row>
    <row r="675" ht="17.25" customHeight="1">
      <c r="A675" s="48" t="s">
        <v>204</v>
      </c>
      <c r="B675" s="49"/>
      <c r="C675" s="58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50"/>
      <c r="U675" s="31"/>
    </row>
    <row r="676" ht="15.75" customHeight="1">
      <c r="A676" s="41" t="s">
        <v>153</v>
      </c>
      <c r="B676" s="44" t="s">
        <v>205</v>
      </c>
      <c r="C676" s="42" t="s">
        <v>36</v>
      </c>
      <c r="D676" s="43" t="s">
        <v>206</v>
      </c>
      <c r="E676" s="44" t="s">
        <v>207</v>
      </c>
      <c r="F676" s="52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4"/>
      <c r="U676" s="31"/>
    </row>
    <row r="677" ht="15.75" customHeight="1">
      <c r="A677" s="47"/>
      <c r="B677" s="44" t="s">
        <v>231</v>
      </c>
      <c r="C677" s="42"/>
      <c r="D677" s="43" t="s">
        <v>553</v>
      </c>
      <c r="E677" s="44" t="s">
        <v>233</v>
      </c>
      <c r="F677" s="5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56"/>
      <c r="U677" s="31"/>
    </row>
    <row r="678" ht="15.75" customHeight="1">
      <c r="A678" s="47"/>
      <c r="B678" s="44"/>
      <c r="C678" s="42"/>
      <c r="D678" s="43" t="s">
        <v>554</v>
      </c>
      <c r="E678" s="44"/>
      <c r="F678" s="57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9"/>
      <c r="U678" s="31"/>
    </row>
    <row r="679" ht="15.75" customHeight="1">
      <c r="A679" s="47"/>
      <c r="B679" s="44"/>
      <c r="C679" s="42"/>
      <c r="D679" s="43" t="s">
        <v>235</v>
      </c>
      <c r="E679" s="44" t="s">
        <v>213</v>
      </c>
      <c r="F679" s="52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4"/>
      <c r="U679" s="31"/>
    </row>
    <row r="680" ht="15.75" customHeight="1">
      <c r="A680" s="46"/>
      <c r="B680" s="44"/>
      <c r="C680" s="42"/>
      <c r="D680" s="43"/>
      <c r="E680" s="44" t="s">
        <v>214</v>
      </c>
      <c r="F680" s="57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9"/>
      <c r="U680" s="31"/>
    </row>
    <row r="681" ht="15.75" customHeight="1">
      <c r="A681" s="41"/>
      <c r="B681" s="41">
        <v>1</v>
      </c>
      <c r="C681" s="42" t="s">
        <v>36</v>
      </c>
      <c r="D681" s="43" t="s">
        <v>555</v>
      </c>
      <c r="E681" s="41" t="s">
        <v>160</v>
      </c>
      <c r="F681" s="44">
        <v>0</v>
      </c>
      <c r="G681" s="44">
        <v>0</v>
      </c>
      <c r="H681" s="45">
        <v>0</v>
      </c>
      <c r="I681" s="44">
        <v>0</v>
      </c>
      <c r="J681" s="44">
        <v>0</v>
      </c>
      <c r="K681" s="44">
        <v>0</v>
      </c>
      <c r="L681" s="44">
        <v>0</v>
      </c>
      <c r="M681" s="44">
        <v>0</v>
      </c>
      <c r="N681" s="45">
        <v>2</v>
      </c>
      <c r="O681" s="44">
        <v>0</v>
      </c>
      <c r="P681" s="44">
        <v>0</v>
      </c>
      <c r="Q681" s="44">
        <v>34</v>
      </c>
      <c r="R681" s="44">
        <v>0</v>
      </c>
      <c r="S681" s="45">
        <v>0</v>
      </c>
      <c r="T681" s="44">
        <v>0</v>
      </c>
      <c r="U681" s="31"/>
    </row>
    <row r="682" ht="15.75" customHeight="1">
      <c r="A682" s="47"/>
      <c r="B682" s="46"/>
      <c r="C682" s="42"/>
      <c r="D682" s="43" t="s">
        <v>237</v>
      </c>
      <c r="E682" s="46"/>
      <c r="F682" s="44"/>
      <c r="G682" s="44"/>
      <c r="H682" s="45"/>
      <c r="I682" s="44"/>
      <c r="J682" s="44"/>
      <c r="K682" s="44"/>
      <c r="L682" s="44"/>
      <c r="M682" s="44"/>
      <c r="N682" s="45"/>
      <c r="O682" s="44"/>
      <c r="P682" s="44"/>
      <c r="Q682" s="44"/>
      <c r="R682" s="44"/>
      <c r="S682" s="45"/>
      <c r="T682" s="44"/>
      <c r="U682" s="31"/>
    </row>
    <row r="683" ht="15.75" customHeight="1">
      <c r="A683" s="47"/>
      <c r="B683" s="41">
        <v>1</v>
      </c>
      <c r="C683" s="42" t="s">
        <v>36</v>
      </c>
      <c r="D683" s="43" t="s">
        <v>556</v>
      </c>
      <c r="E683" s="41" t="s">
        <v>160</v>
      </c>
      <c r="F683" s="44">
        <v>0</v>
      </c>
      <c r="G683" s="44">
        <v>0</v>
      </c>
      <c r="H683" s="45">
        <v>0</v>
      </c>
      <c r="I683" s="44">
        <v>0</v>
      </c>
      <c r="J683" s="44">
        <v>0</v>
      </c>
      <c r="K683" s="44">
        <v>0</v>
      </c>
      <c r="L683" s="44">
        <v>0</v>
      </c>
      <c r="M683" s="44">
        <v>0</v>
      </c>
      <c r="N683" s="45">
        <v>2</v>
      </c>
      <c r="O683" s="44">
        <v>0</v>
      </c>
      <c r="P683" s="44">
        <v>0</v>
      </c>
      <c r="Q683" s="44">
        <v>34</v>
      </c>
      <c r="R683" s="44">
        <v>0</v>
      </c>
      <c r="S683" s="45">
        <v>0</v>
      </c>
      <c r="T683" s="44">
        <v>0</v>
      </c>
      <c r="U683" s="31"/>
    </row>
    <row r="684" ht="15.75" customHeight="1">
      <c r="A684" s="46"/>
      <c r="B684" s="46"/>
      <c r="C684" s="42"/>
      <c r="D684" s="43" t="s">
        <v>239</v>
      </c>
      <c r="E684" s="46"/>
      <c r="F684" s="44"/>
      <c r="G684" s="44"/>
      <c r="H684" s="45"/>
      <c r="I684" s="44"/>
      <c r="J684" s="44"/>
      <c r="K684" s="44"/>
      <c r="L684" s="44"/>
      <c r="M684" s="44"/>
      <c r="N684" s="45"/>
      <c r="O684" s="44"/>
      <c r="P684" s="44"/>
      <c r="Q684" s="44"/>
      <c r="R684" s="44"/>
      <c r="S684" s="45"/>
      <c r="T684" s="44"/>
      <c r="U684" s="31"/>
    </row>
    <row r="685" ht="15.75" customHeight="1">
      <c r="A685" s="41" t="s">
        <v>153</v>
      </c>
      <c r="B685" s="44" t="s">
        <v>205</v>
      </c>
      <c r="C685" s="42" t="s">
        <v>36</v>
      </c>
      <c r="D685" s="43" t="s">
        <v>206</v>
      </c>
      <c r="E685" s="44" t="s">
        <v>207</v>
      </c>
      <c r="F685" s="52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4"/>
      <c r="U685" s="31"/>
    </row>
    <row r="686" ht="15.75" customHeight="1">
      <c r="A686" s="47"/>
      <c r="B686" s="44" t="s">
        <v>208</v>
      </c>
      <c r="C686" s="42"/>
      <c r="D686" s="43" t="s">
        <v>557</v>
      </c>
      <c r="E686" s="44" t="s">
        <v>210</v>
      </c>
      <c r="F686" s="5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56"/>
      <c r="U686" s="31"/>
    </row>
    <row r="687" ht="15.75" customHeight="1">
      <c r="A687" s="47"/>
      <c r="B687" s="44"/>
      <c r="C687" s="42"/>
      <c r="D687" s="43" t="s">
        <v>558</v>
      </c>
      <c r="E687" s="44"/>
      <c r="F687" s="57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9"/>
      <c r="U687" s="31"/>
    </row>
    <row r="688" ht="15.75" customHeight="1">
      <c r="A688" s="47"/>
      <c r="B688" s="44"/>
      <c r="C688" s="42"/>
      <c r="D688" s="43" t="s">
        <v>212</v>
      </c>
      <c r="E688" s="44" t="s">
        <v>213</v>
      </c>
      <c r="F688" s="52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4"/>
      <c r="U688" s="31"/>
    </row>
    <row r="689" ht="15.75" customHeight="1">
      <c r="A689" s="46"/>
      <c r="B689" s="44"/>
      <c r="C689" s="42"/>
      <c r="D689" s="43"/>
      <c r="E689" s="44" t="s">
        <v>214</v>
      </c>
      <c r="F689" s="57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9"/>
      <c r="U689" s="31"/>
    </row>
    <row r="690" ht="15.75" customHeight="1">
      <c r="A690" s="41"/>
      <c r="B690" s="41">
        <v>2</v>
      </c>
      <c r="C690" s="42" t="s">
        <v>36</v>
      </c>
      <c r="D690" s="43" t="s">
        <v>559</v>
      </c>
      <c r="E690" s="41" t="s">
        <v>160</v>
      </c>
      <c r="F690" s="44">
        <v>0</v>
      </c>
      <c r="G690" s="44">
        <v>0</v>
      </c>
      <c r="H690" s="45">
        <v>0</v>
      </c>
      <c r="I690" s="44">
        <v>0</v>
      </c>
      <c r="J690" s="44">
        <v>0</v>
      </c>
      <c r="K690" s="44">
        <v>0</v>
      </c>
      <c r="L690" s="44">
        <v>0</v>
      </c>
      <c r="M690" s="44">
        <v>0</v>
      </c>
      <c r="N690" s="45">
        <v>2</v>
      </c>
      <c r="O690" s="44">
        <v>0</v>
      </c>
      <c r="P690" s="44">
        <v>0</v>
      </c>
      <c r="Q690" s="44">
        <v>70</v>
      </c>
      <c r="R690" s="44">
        <v>0</v>
      </c>
      <c r="S690" s="45">
        <v>0</v>
      </c>
      <c r="T690" s="44">
        <v>0</v>
      </c>
      <c r="U690" s="31"/>
    </row>
    <row r="691" ht="15.75" customHeight="1">
      <c r="A691" s="47"/>
      <c r="B691" s="46"/>
      <c r="C691" s="42"/>
      <c r="D691" s="43" t="s">
        <v>216</v>
      </c>
      <c r="E691" s="46"/>
      <c r="F691" s="44"/>
      <c r="G691" s="44"/>
      <c r="H691" s="45"/>
      <c r="I691" s="44"/>
      <c r="J691" s="44"/>
      <c r="K691" s="44"/>
      <c r="L691" s="44"/>
      <c r="M691" s="44"/>
      <c r="N691" s="45"/>
      <c r="O691" s="44"/>
      <c r="P691" s="44"/>
      <c r="Q691" s="44"/>
      <c r="R691" s="44"/>
      <c r="S691" s="45"/>
      <c r="T691" s="44"/>
      <c r="U691" s="31"/>
    </row>
    <row r="692" ht="15.75" customHeight="1">
      <c r="A692" s="47"/>
      <c r="B692" s="41">
        <v>2</v>
      </c>
      <c r="C692" s="42" t="s">
        <v>36</v>
      </c>
      <c r="D692" s="43" t="s">
        <v>560</v>
      </c>
      <c r="E692" s="41" t="s">
        <v>160</v>
      </c>
      <c r="F692" s="44">
        <v>0</v>
      </c>
      <c r="G692" s="44">
        <v>0</v>
      </c>
      <c r="H692" s="45">
        <v>0</v>
      </c>
      <c r="I692" s="44">
        <v>0</v>
      </c>
      <c r="J692" s="44">
        <v>0</v>
      </c>
      <c r="K692" s="44">
        <v>0</v>
      </c>
      <c r="L692" s="44">
        <v>0</v>
      </c>
      <c r="M692" s="44">
        <v>0</v>
      </c>
      <c r="N692" s="45">
        <v>2</v>
      </c>
      <c r="O692" s="44">
        <v>0</v>
      </c>
      <c r="P692" s="44">
        <v>0</v>
      </c>
      <c r="Q692" s="44">
        <v>70</v>
      </c>
      <c r="R692" s="44">
        <v>0</v>
      </c>
      <c r="S692" s="45">
        <v>0</v>
      </c>
      <c r="T692" s="44">
        <v>0</v>
      </c>
      <c r="U692" s="31"/>
    </row>
    <row r="693" ht="15.75" customHeight="1">
      <c r="A693" s="47"/>
      <c r="B693" s="46"/>
      <c r="C693" s="42"/>
      <c r="D693" s="43" t="s">
        <v>218</v>
      </c>
      <c r="E693" s="46"/>
      <c r="F693" s="44"/>
      <c r="G693" s="44"/>
      <c r="H693" s="45"/>
      <c r="I693" s="44"/>
      <c r="J693" s="44"/>
      <c r="K693" s="44"/>
      <c r="L693" s="44"/>
      <c r="M693" s="44"/>
      <c r="N693" s="45"/>
      <c r="O693" s="44"/>
      <c r="P693" s="44"/>
      <c r="Q693" s="44"/>
      <c r="R693" s="44"/>
      <c r="S693" s="45"/>
      <c r="T693" s="44"/>
      <c r="U693" s="31"/>
    </row>
    <row r="694" ht="15.75" customHeight="1">
      <c r="A694" s="47"/>
      <c r="B694" s="41">
        <v>1</v>
      </c>
      <c r="C694" s="42" t="s">
        <v>36</v>
      </c>
      <c r="D694" s="43" t="s">
        <v>561</v>
      </c>
      <c r="E694" s="41" t="s">
        <v>160</v>
      </c>
      <c r="F694" s="44">
        <v>0</v>
      </c>
      <c r="G694" s="44">
        <v>0</v>
      </c>
      <c r="H694" s="45">
        <v>0</v>
      </c>
      <c r="I694" s="44">
        <v>0</v>
      </c>
      <c r="J694" s="44">
        <v>0</v>
      </c>
      <c r="K694" s="44">
        <v>0</v>
      </c>
      <c r="L694" s="44">
        <v>0</v>
      </c>
      <c r="M694" s="44">
        <v>0</v>
      </c>
      <c r="N694" s="45">
        <v>2</v>
      </c>
      <c r="O694" s="44">
        <v>0</v>
      </c>
      <c r="P694" s="44">
        <v>0</v>
      </c>
      <c r="Q694" s="44">
        <v>34</v>
      </c>
      <c r="R694" s="44">
        <v>0</v>
      </c>
      <c r="S694" s="45">
        <v>0</v>
      </c>
      <c r="T694" s="44">
        <v>0</v>
      </c>
      <c r="U694" s="31"/>
    </row>
    <row r="695" ht="15.75" customHeight="1">
      <c r="A695" s="47"/>
      <c r="B695" s="46"/>
      <c r="C695" s="42"/>
      <c r="D695" s="43" t="s">
        <v>220</v>
      </c>
      <c r="E695" s="46"/>
      <c r="F695" s="44"/>
      <c r="G695" s="44"/>
      <c r="H695" s="45"/>
      <c r="I695" s="44"/>
      <c r="J695" s="44"/>
      <c r="K695" s="44"/>
      <c r="L695" s="44"/>
      <c r="M695" s="44"/>
      <c r="N695" s="45"/>
      <c r="O695" s="44"/>
      <c r="P695" s="44"/>
      <c r="Q695" s="44"/>
      <c r="R695" s="44"/>
      <c r="S695" s="45"/>
      <c r="T695" s="44"/>
      <c r="U695" s="31"/>
    </row>
    <row r="696" ht="15.75" customHeight="1">
      <c r="A696" s="47"/>
      <c r="B696" s="41">
        <v>1</v>
      </c>
      <c r="C696" s="42" t="s">
        <v>36</v>
      </c>
      <c r="D696" s="43" t="s">
        <v>562</v>
      </c>
      <c r="E696" s="41" t="s">
        <v>160</v>
      </c>
      <c r="F696" s="44">
        <v>0</v>
      </c>
      <c r="G696" s="44">
        <v>0</v>
      </c>
      <c r="H696" s="45">
        <v>0</v>
      </c>
      <c r="I696" s="44">
        <v>0</v>
      </c>
      <c r="J696" s="44">
        <v>0</v>
      </c>
      <c r="K696" s="44">
        <v>0</v>
      </c>
      <c r="L696" s="44">
        <v>0</v>
      </c>
      <c r="M696" s="44">
        <v>0</v>
      </c>
      <c r="N696" s="45">
        <v>2</v>
      </c>
      <c r="O696" s="44">
        <v>0</v>
      </c>
      <c r="P696" s="44">
        <v>0</v>
      </c>
      <c r="Q696" s="44">
        <v>34</v>
      </c>
      <c r="R696" s="44">
        <v>0</v>
      </c>
      <c r="S696" s="45">
        <v>0</v>
      </c>
      <c r="T696" s="44">
        <v>0</v>
      </c>
      <c r="U696" s="31"/>
    </row>
    <row r="697" ht="15.75" customHeight="1">
      <c r="A697" s="47"/>
      <c r="B697" s="46"/>
      <c r="C697" s="42"/>
      <c r="D697" s="43" t="s">
        <v>222</v>
      </c>
      <c r="E697" s="46"/>
      <c r="F697" s="44"/>
      <c r="G697" s="44"/>
      <c r="H697" s="45"/>
      <c r="I697" s="44"/>
      <c r="J697" s="44"/>
      <c r="K697" s="44"/>
      <c r="L697" s="44"/>
      <c r="M697" s="44"/>
      <c r="N697" s="45"/>
      <c r="O697" s="44"/>
      <c r="P697" s="44"/>
      <c r="Q697" s="44"/>
      <c r="R697" s="44"/>
      <c r="S697" s="45"/>
      <c r="T697" s="44"/>
      <c r="U697" s="31"/>
    </row>
    <row r="698" ht="15.75" customHeight="1">
      <c r="A698" s="47"/>
      <c r="B698" s="41">
        <v>1</v>
      </c>
      <c r="C698" s="42" t="s">
        <v>36</v>
      </c>
      <c r="D698" s="43" t="s">
        <v>563</v>
      </c>
      <c r="E698" s="41" t="s">
        <v>160</v>
      </c>
      <c r="F698" s="44">
        <v>0</v>
      </c>
      <c r="G698" s="44">
        <v>0</v>
      </c>
      <c r="H698" s="45">
        <v>0</v>
      </c>
      <c r="I698" s="44">
        <v>0</v>
      </c>
      <c r="J698" s="44">
        <v>0</v>
      </c>
      <c r="K698" s="44">
        <v>0</v>
      </c>
      <c r="L698" s="44">
        <v>0</v>
      </c>
      <c r="M698" s="44">
        <v>0</v>
      </c>
      <c r="N698" s="45">
        <v>2</v>
      </c>
      <c r="O698" s="44">
        <v>0</v>
      </c>
      <c r="P698" s="44">
        <v>0</v>
      </c>
      <c r="Q698" s="44">
        <v>34</v>
      </c>
      <c r="R698" s="44">
        <v>0</v>
      </c>
      <c r="S698" s="45">
        <v>0</v>
      </c>
      <c r="T698" s="44">
        <v>0</v>
      </c>
      <c r="U698" s="31"/>
    </row>
    <row r="699" ht="15.75" customHeight="1">
      <c r="A699" s="47"/>
      <c r="B699" s="46"/>
      <c r="C699" s="42"/>
      <c r="D699" s="43" t="s">
        <v>224</v>
      </c>
      <c r="E699" s="46"/>
      <c r="F699" s="44"/>
      <c r="G699" s="44"/>
      <c r="H699" s="45"/>
      <c r="I699" s="44"/>
      <c r="J699" s="44"/>
      <c r="K699" s="44"/>
      <c r="L699" s="44"/>
      <c r="M699" s="44"/>
      <c r="N699" s="45"/>
      <c r="O699" s="44"/>
      <c r="P699" s="44"/>
      <c r="Q699" s="44"/>
      <c r="R699" s="44"/>
      <c r="S699" s="45"/>
      <c r="T699" s="44"/>
      <c r="U699" s="31"/>
    </row>
    <row r="700" ht="15.75" customHeight="1">
      <c r="A700" s="47"/>
      <c r="B700" s="41">
        <v>1</v>
      </c>
      <c r="C700" s="42" t="s">
        <v>36</v>
      </c>
      <c r="D700" s="43" t="s">
        <v>564</v>
      </c>
      <c r="E700" s="41" t="s">
        <v>160</v>
      </c>
      <c r="F700" s="44">
        <v>0</v>
      </c>
      <c r="G700" s="44">
        <v>0</v>
      </c>
      <c r="H700" s="45">
        <v>0</v>
      </c>
      <c r="I700" s="44">
        <v>0</v>
      </c>
      <c r="J700" s="44">
        <v>0</v>
      </c>
      <c r="K700" s="44">
        <v>0</v>
      </c>
      <c r="L700" s="44">
        <v>0</v>
      </c>
      <c r="M700" s="44">
        <v>0</v>
      </c>
      <c r="N700" s="45">
        <v>2</v>
      </c>
      <c r="O700" s="44">
        <v>0</v>
      </c>
      <c r="P700" s="44">
        <v>0</v>
      </c>
      <c r="Q700" s="44">
        <v>34</v>
      </c>
      <c r="R700" s="44">
        <v>0</v>
      </c>
      <c r="S700" s="45">
        <v>0</v>
      </c>
      <c r="T700" s="44">
        <v>0</v>
      </c>
      <c r="U700" s="31"/>
    </row>
    <row r="701" ht="15.75" customHeight="1">
      <c r="A701" s="47"/>
      <c r="B701" s="46"/>
      <c r="C701" s="42"/>
      <c r="D701" s="43" t="s">
        <v>226</v>
      </c>
      <c r="E701" s="46"/>
      <c r="F701" s="44"/>
      <c r="G701" s="44"/>
      <c r="H701" s="45"/>
      <c r="I701" s="44"/>
      <c r="J701" s="44"/>
      <c r="K701" s="44"/>
      <c r="L701" s="44"/>
      <c r="M701" s="44"/>
      <c r="N701" s="45"/>
      <c r="O701" s="44"/>
      <c r="P701" s="44"/>
      <c r="Q701" s="44"/>
      <c r="R701" s="44"/>
      <c r="S701" s="45"/>
      <c r="T701" s="44"/>
      <c r="U701" s="31"/>
    </row>
    <row r="702" ht="15.75" customHeight="1">
      <c r="A702" s="47"/>
      <c r="B702" s="41">
        <v>1</v>
      </c>
      <c r="C702" s="42" t="s">
        <v>36</v>
      </c>
      <c r="D702" s="43" t="s">
        <v>565</v>
      </c>
      <c r="E702" s="41" t="s">
        <v>160</v>
      </c>
      <c r="F702" s="44">
        <v>0</v>
      </c>
      <c r="G702" s="44">
        <v>0</v>
      </c>
      <c r="H702" s="45">
        <v>0</v>
      </c>
      <c r="I702" s="44">
        <v>0</v>
      </c>
      <c r="J702" s="44">
        <v>0</v>
      </c>
      <c r="K702" s="44">
        <v>0</v>
      </c>
      <c r="L702" s="44">
        <v>0</v>
      </c>
      <c r="M702" s="44">
        <v>0</v>
      </c>
      <c r="N702" s="45">
        <v>2</v>
      </c>
      <c r="O702" s="44">
        <v>0</v>
      </c>
      <c r="P702" s="44">
        <v>0</v>
      </c>
      <c r="Q702" s="44">
        <v>34</v>
      </c>
      <c r="R702" s="44">
        <v>0</v>
      </c>
      <c r="S702" s="45">
        <v>0</v>
      </c>
      <c r="T702" s="44">
        <v>0</v>
      </c>
      <c r="U702" s="31"/>
    </row>
    <row r="703" ht="15.75" customHeight="1">
      <c r="A703" s="46"/>
      <c r="B703" s="46"/>
      <c r="C703" s="42"/>
      <c r="D703" s="43" t="s">
        <v>228</v>
      </c>
      <c r="E703" s="46"/>
      <c r="F703" s="44"/>
      <c r="G703" s="44"/>
      <c r="H703" s="45"/>
      <c r="I703" s="44"/>
      <c r="J703" s="44"/>
      <c r="K703" s="44"/>
      <c r="L703" s="44"/>
      <c r="M703" s="44"/>
      <c r="N703" s="45"/>
      <c r="O703" s="44"/>
      <c r="P703" s="44"/>
      <c r="Q703" s="44"/>
      <c r="R703" s="44"/>
      <c r="S703" s="45"/>
      <c r="T703" s="44"/>
      <c r="U703" s="31"/>
    </row>
    <row r="704" ht="15.75" customHeight="1">
      <c r="A704" s="44"/>
      <c r="B704" s="44"/>
      <c r="C704" s="42"/>
      <c r="D704" s="43"/>
      <c r="E704" s="44"/>
      <c r="F704" s="44"/>
      <c r="G704" s="44"/>
      <c r="H704" s="45"/>
      <c r="I704" s="44"/>
      <c r="J704" s="44"/>
      <c r="K704" s="44"/>
      <c r="L704" s="44"/>
      <c r="M704" s="44"/>
      <c r="N704" s="45"/>
      <c r="O704" s="44"/>
      <c r="P704" s="44"/>
      <c r="Q704" s="44"/>
      <c r="R704" s="44"/>
      <c r="S704" s="45"/>
      <c r="T704" s="44"/>
      <c r="U704" s="31"/>
    </row>
    <row r="705" ht="15.75" customHeight="1">
      <c r="A705" s="44"/>
      <c r="B705" s="44"/>
      <c r="C705" s="42"/>
      <c r="D705" s="43"/>
      <c r="E705" s="44"/>
      <c r="F705" s="44"/>
      <c r="G705" s="44"/>
      <c r="H705" s="45"/>
      <c r="I705" s="44"/>
      <c r="J705" s="44"/>
      <c r="K705" s="44"/>
      <c r="L705" s="44"/>
      <c r="M705" s="44"/>
      <c r="N705" s="45"/>
      <c r="O705" s="44"/>
      <c r="P705" s="44"/>
      <c r="Q705" s="44"/>
      <c r="R705" s="44"/>
      <c r="S705" s="45"/>
      <c r="T705" s="44"/>
      <c r="U705" s="31"/>
    </row>
    <row r="706" ht="17.25" customHeight="1">
      <c r="A706" s="75" t="s">
        <v>566</v>
      </c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7"/>
      <c r="U706" s="31"/>
    </row>
    <row r="707" ht="15.75" customHeight="1">
      <c r="A707" s="41" t="s">
        <v>129</v>
      </c>
      <c r="B707" s="41" t="s">
        <v>567</v>
      </c>
      <c r="C707" s="78" t="s">
        <v>568</v>
      </c>
      <c r="D707" s="79"/>
      <c r="E707" s="79"/>
      <c r="F707" s="79"/>
      <c r="G707" s="79"/>
      <c r="H707" s="79"/>
      <c r="I707" s="79"/>
      <c r="J707" s="79"/>
      <c r="K707" s="80"/>
      <c r="L707" s="52" t="s">
        <v>569</v>
      </c>
      <c r="M707" s="81"/>
      <c r="N707" s="81"/>
      <c r="O707" s="81"/>
      <c r="P707" s="81"/>
      <c r="Q707" s="81"/>
      <c r="R707" s="81"/>
      <c r="S707" s="81"/>
      <c r="T707" s="82"/>
      <c r="U707" s="31"/>
    </row>
    <row r="708" ht="15.75" customHeight="1">
      <c r="A708" s="46"/>
      <c r="B708" s="46"/>
      <c r="C708" s="83"/>
      <c r="D708" s="84"/>
      <c r="E708" s="84"/>
      <c r="F708" s="84"/>
      <c r="G708" s="84"/>
      <c r="H708" s="84"/>
      <c r="I708" s="84"/>
      <c r="J708" s="84"/>
      <c r="K708" s="85"/>
      <c r="L708" s="86"/>
      <c r="M708" s="87"/>
      <c r="N708" s="87"/>
      <c r="O708" s="87"/>
      <c r="P708" s="87"/>
      <c r="Q708" s="87"/>
      <c r="R708" s="87"/>
      <c r="S708" s="87"/>
      <c r="T708" s="88"/>
      <c r="U708" s="31"/>
    </row>
    <row r="709" ht="15.75" customHeight="1">
      <c r="A709" s="89" t="s">
        <v>570</v>
      </c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1"/>
      <c r="U709" s="31"/>
    </row>
    <row r="710" ht="15.75" customHeight="1">
      <c r="A710" s="89" t="s">
        <v>571</v>
      </c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1"/>
      <c r="U710" s="31"/>
    </row>
    <row r="711" ht="15.75" customHeight="1">
      <c r="A711" s="41" t="s">
        <v>572</v>
      </c>
      <c r="B711" s="41">
        <v>9</v>
      </c>
      <c r="C711" s="92" t="s">
        <v>573</v>
      </c>
      <c r="D711" s="93"/>
      <c r="E711" s="93"/>
      <c r="F711" s="93"/>
      <c r="G711" s="93"/>
      <c r="H711" s="93"/>
      <c r="I711" s="93"/>
      <c r="J711" s="93"/>
      <c r="K711" s="94"/>
      <c r="L711" s="52" t="s">
        <v>574</v>
      </c>
      <c r="M711" s="81"/>
      <c r="N711" s="81"/>
      <c r="O711" s="81"/>
      <c r="P711" s="81"/>
      <c r="Q711" s="81"/>
      <c r="R711" s="81"/>
      <c r="S711" s="81"/>
      <c r="T711" s="82"/>
      <c r="U711" s="31"/>
    </row>
    <row r="712" ht="15.75" customHeight="1">
      <c r="A712" s="46"/>
      <c r="B712" s="46"/>
      <c r="C712" s="95" t="s">
        <v>575</v>
      </c>
      <c r="D712" s="96"/>
      <c r="E712" s="96"/>
      <c r="F712" s="96"/>
      <c r="G712" s="96"/>
      <c r="H712" s="96"/>
      <c r="I712" s="96"/>
      <c r="J712" s="96"/>
      <c r="K712" s="97"/>
      <c r="L712" s="98"/>
      <c r="M712" s="99"/>
      <c r="N712" s="99"/>
      <c r="O712" s="99"/>
      <c r="P712" s="99"/>
      <c r="Q712" s="99"/>
      <c r="R712" s="99"/>
      <c r="S712" s="99"/>
      <c r="T712" s="100"/>
      <c r="U712" s="31"/>
    </row>
    <row r="713" ht="17.25" customHeight="1">
      <c r="A713" s="40" t="s">
        <v>576</v>
      </c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2"/>
      <c r="U713" s="31"/>
    </row>
    <row r="714" ht="17.25" customHeight="1">
      <c r="A714" s="103" t="s">
        <v>203</v>
      </c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5"/>
      <c r="U714" s="31"/>
    </row>
    <row r="715" ht="15.75" customHeight="1">
      <c r="A715" s="44"/>
      <c r="B715" s="44"/>
      <c r="C715" s="42"/>
      <c r="D715" s="43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31"/>
    </row>
    <row r="716" ht="15.75" customHeight="1">
      <c r="A716" s="44"/>
      <c r="B716" s="44"/>
      <c r="C716" s="42"/>
      <c r="D716" s="43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31"/>
    </row>
    <row r="717" ht="15.75" customHeight="1">
      <c r="A717" s="44"/>
      <c r="B717" s="44"/>
      <c r="C717" s="42"/>
      <c r="D717" s="43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31"/>
    </row>
    <row r="718" ht="15.75" customHeight="1">
      <c r="A718" s="44"/>
      <c r="B718" s="44"/>
      <c r="C718" s="42"/>
      <c r="D718" s="43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31"/>
    </row>
    <row r="719" ht="17.25" customHeight="1">
      <c r="A719" s="75" t="s">
        <v>577</v>
      </c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7"/>
      <c r="U719" s="31"/>
    </row>
    <row r="720" ht="17.25" customHeight="1">
      <c r="A720" s="75" t="s">
        <v>578</v>
      </c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7"/>
      <c r="U720" s="31"/>
    </row>
    <row r="721" ht="15.75" customHeight="1">
      <c r="A721" s="52" t="s">
        <v>579</v>
      </c>
      <c r="B721" s="81"/>
      <c r="C721" s="81"/>
      <c r="D721" s="81"/>
      <c r="E721" s="81"/>
      <c r="F721" s="81"/>
      <c r="G721" s="81"/>
      <c r="H721" s="82"/>
      <c r="I721" s="106" t="s">
        <v>580</v>
      </c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8"/>
      <c r="U721" s="31"/>
    </row>
    <row r="722" ht="15.75" customHeight="1">
      <c r="A722" s="109"/>
      <c r="B722" s="110"/>
      <c r="C722" s="110"/>
      <c r="D722" s="110"/>
      <c r="E722" s="110"/>
      <c r="F722" s="110"/>
      <c r="G722" s="110"/>
      <c r="H722" s="111"/>
      <c r="I722" s="106" t="s">
        <v>581</v>
      </c>
      <c r="J722" s="107"/>
      <c r="K722" s="107"/>
      <c r="L722" s="107"/>
      <c r="M722" s="107"/>
      <c r="N722" s="108"/>
      <c r="O722" s="52" t="s">
        <v>582</v>
      </c>
      <c r="P722" s="81"/>
      <c r="Q722" s="81"/>
      <c r="R722" s="81"/>
      <c r="S722" s="81"/>
      <c r="T722" s="82"/>
      <c r="U722" s="31"/>
    </row>
    <row r="723" ht="15.75" customHeight="1">
      <c r="A723" s="86"/>
      <c r="B723" s="87"/>
      <c r="C723" s="87"/>
      <c r="D723" s="87"/>
      <c r="E723" s="87"/>
      <c r="F723" s="87"/>
      <c r="G723" s="87"/>
      <c r="H723" s="88"/>
      <c r="I723" s="106" t="s">
        <v>245</v>
      </c>
      <c r="J723" s="107"/>
      <c r="K723" s="107"/>
      <c r="L723" s="107" t="s">
        <v>247</v>
      </c>
      <c r="M723" s="107"/>
      <c r="N723" s="108"/>
      <c r="O723" s="86"/>
      <c r="P723" s="87"/>
      <c r="Q723" s="87"/>
      <c r="R723" s="87"/>
      <c r="S723" s="87"/>
      <c r="T723" s="88"/>
      <c r="U723" s="31"/>
    </row>
    <row r="724" ht="15.75" customHeight="1">
      <c r="A724" s="106" t="s">
        <v>583</v>
      </c>
      <c r="B724" s="107"/>
      <c r="C724" s="108"/>
      <c r="D724" s="112" t="s">
        <v>584</v>
      </c>
      <c r="E724" s="113"/>
      <c r="F724" s="113"/>
      <c r="G724" s="113"/>
      <c r="H724" s="65"/>
      <c r="I724" s="106">
        <f>SUM(B89:B113)+B118+SUM(B170:B190)+B193+B201+SUM(B256:B276)+B279+B281+B283+B295+SUM(B345:B363)+SUM(B366:B372)+B384+SUM(B437:B443)+B448+B450+B461+SUM(B507:B515)+B520+B522+B524+B535+B580+B582+B586+B589+B591+B593+B604+B652+B654+B656+B659+B666</f>
        <v>203</v>
      </c>
      <c r="J724" s="107"/>
      <c r="K724" s="107"/>
      <c r="L724" s="107">
        <f>SUM(B89:B113)+B118+SUM(B170:B190)+B201+SUM(B256:B276)+B288+B290+B295+SUM(B345:B363)+B375+B377+B384+SUM(B437:B443)+B455+B457+B470+SUM(B507:B515)+B527+B529+B531+B542+B580+B582+B586+B596+B598+B600+B611+B652+B654+B656+B662+B671</f>
        <v>191</v>
      </c>
      <c r="M724" s="107"/>
      <c r="N724" s="108"/>
      <c r="O724" s="106" t="s">
        <v>585</v>
      </c>
      <c r="P724" s="107"/>
      <c r="Q724" s="107"/>
      <c r="R724" s="107"/>
      <c r="S724" s="107"/>
      <c r="T724" s="108"/>
      <c r="U724" s="31"/>
    </row>
    <row r="725" ht="15.75" customHeight="1">
      <c r="A725" s="106" t="s">
        <v>586</v>
      </c>
      <c r="B725" s="107"/>
      <c r="C725" s="108"/>
      <c r="D725" s="112" t="s">
        <v>587</v>
      </c>
      <c r="E725" s="113"/>
      <c r="F725" s="113"/>
      <c r="G725" s="113"/>
      <c r="H725" s="65"/>
      <c r="I725" s="106">
        <f>B446+B517+B584+B648</f>
        <v>28</v>
      </c>
      <c r="J725" s="107"/>
      <c r="K725" s="107"/>
      <c r="L725" s="107">
        <f>B196+B286+B379+B453+B517+B584+B648</f>
        <v>40</v>
      </c>
      <c r="M725" s="107"/>
      <c r="N725" s="108"/>
      <c r="O725" s="106" t="s">
        <v>588</v>
      </c>
      <c r="P725" s="107"/>
      <c r="Q725" s="107"/>
      <c r="R725" s="107"/>
      <c r="S725" s="107"/>
      <c r="T725" s="108"/>
      <c r="U725" s="31"/>
    </row>
    <row r="726" ht="15.75" customHeight="1">
      <c r="A726" s="106" t="s">
        <v>589</v>
      </c>
      <c r="B726" s="107"/>
      <c r="C726" s="108"/>
      <c r="D726" s="112" t="s">
        <v>590</v>
      </c>
      <c r="E726" s="113"/>
      <c r="F726" s="113"/>
      <c r="G726" s="113"/>
      <c r="H726" s="65"/>
      <c r="I726" s="106">
        <f>B711</f>
        <v>9</v>
      </c>
      <c r="J726" s="107"/>
      <c r="K726" s="107"/>
      <c r="L726" s="107">
        <f>B711</f>
        <v>9</v>
      </c>
      <c r="M726" s="107"/>
      <c r="N726" s="108"/>
      <c r="O726" s="114" t="s">
        <v>591</v>
      </c>
      <c r="P726" s="115"/>
      <c r="Q726" s="115"/>
      <c r="R726" s="115"/>
      <c r="S726" s="115"/>
      <c r="T726" s="116"/>
      <c r="U726" s="31"/>
    </row>
    <row r="727" ht="15.75" customHeight="1">
      <c r="A727" s="106" t="s">
        <v>592</v>
      </c>
      <c r="B727" s="107"/>
      <c r="C727" s="107"/>
      <c r="D727" s="107"/>
      <c r="E727" s="107"/>
      <c r="F727" s="107"/>
      <c r="G727" s="107"/>
      <c r="H727" s="108"/>
      <c r="I727" s="106">
        <f>I724+I725+I726</f>
        <v>240</v>
      </c>
      <c r="J727" s="107"/>
      <c r="K727" s="107"/>
      <c r="L727" s="107">
        <f>L724+L725+L726</f>
        <v>240</v>
      </c>
      <c r="M727" s="107"/>
      <c r="N727" s="108"/>
      <c r="O727" s="106">
        <v>240</v>
      </c>
      <c r="P727" s="107"/>
      <c r="Q727" s="107"/>
      <c r="R727" s="107"/>
      <c r="S727" s="107"/>
      <c r="T727" s="108"/>
      <c r="U727" s="31"/>
    </row>
    <row r="728" ht="13.5" customHeight="1">
      <c r="A728" s="31"/>
      <c r="B728" s="31"/>
      <c r="C728" s="117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</row>
    <row r="729" ht="13.5" customHeight="1">
      <c r="A729" s="31"/>
      <c r="B729" s="31"/>
      <c r="C729" s="117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</row>
    <row r="730" ht="13.5" customHeight="1">
      <c r="A730" s="31"/>
      <c r="B730" s="31"/>
      <c r="C730" s="117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</row>
    <row r="731" ht="13.5" customHeight="1">
      <c r="A731" s="31"/>
      <c r="B731" s="31"/>
      <c r="C731" s="117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</row>
    <row r="732" ht="13.5" customHeight="1">
      <c r="A732" s="31"/>
      <c r="B732" s="31"/>
      <c r="C732" s="117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</row>
    <row r="733" ht="13.5" customHeight="1">
      <c r="A733" s="31"/>
      <c r="B733" s="31"/>
      <c r="C733" s="117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</row>
    <row r="734" ht="13.5" customHeight="1">
      <c r="A734" s="31"/>
      <c r="B734" s="31"/>
      <c r="C734" s="117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</row>
    <row r="735" ht="13.5" customHeight="1">
      <c r="A735" s="31"/>
      <c r="B735" s="31"/>
      <c r="C735" s="117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</row>
    <row r="736" ht="13.5" customHeight="1">
      <c r="A736" s="31"/>
      <c r="B736" s="31"/>
      <c r="C736" s="117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</row>
    <row r="737" ht="13.5" customHeight="1">
      <c r="A737" s="31"/>
      <c r="B737" s="31"/>
      <c r="C737" s="117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</row>
    <row r="738" ht="13.5" customHeight="1">
      <c r="A738" s="31"/>
      <c r="B738" s="31"/>
      <c r="C738" s="117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</row>
    <row r="739" ht="13.5" customHeight="1">
      <c r="A739" s="31"/>
      <c r="B739" s="31"/>
      <c r="C739" s="117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</row>
    <row r="740" ht="13.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</row>
    <row r="741" ht="13.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</row>
    <row r="742" ht="13.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</row>
    <row r="743" ht="13.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</row>
    <row r="744" ht="13.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</row>
    <row r="745" ht="13.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</row>
    <row r="746" ht="13.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</row>
    <row r="747" ht="13.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</row>
    <row r="748" ht="13.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</row>
    <row r="749" ht="13.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</row>
    <row r="750" ht="13.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</row>
    <row r="751" ht="13.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</row>
    <row r="752" ht="13.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</row>
    <row r="753" ht="13.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</row>
    <row r="754" ht="13.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</row>
    <row r="755" ht="13.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</row>
    <row r="756" ht="13.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</row>
    <row r="757" ht="13.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</row>
    <row r="758" ht="13.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</row>
    <row r="759" ht="13.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</row>
    <row r="760" ht="13.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</row>
    <row r="761" ht="13.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</row>
    <row r="762" ht="13.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</row>
    <row r="763" ht="13.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</row>
    <row r="764" ht="13.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</row>
    <row r="765" ht="13.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</row>
    <row r="766" ht="13.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</row>
    <row r="767" ht="13.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</row>
    <row r="768" ht="13.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</row>
    <row r="769" ht="13.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</row>
    <row r="770" ht="13.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</row>
    <row r="771" ht="13.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</row>
    <row r="772" ht="13.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</row>
    <row r="773" ht="13.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</row>
    <row r="774" ht="13.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</row>
    <row r="775" ht="13.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</row>
    <row r="776" ht="13.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</row>
    <row r="777" ht="13.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</row>
    <row r="778" ht="13.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</row>
    <row r="779" ht="13.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</row>
    <row r="780" ht="13.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</row>
    <row r="781" ht="13.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</row>
    <row r="782" ht="13.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</row>
    <row r="783" ht="13.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</row>
    <row r="784" ht="13.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</row>
    <row r="785" ht="13.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</row>
    <row r="786" ht="13.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</row>
    <row r="787" ht="13.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</row>
    <row r="788" ht="13.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</row>
    <row r="789" ht="13.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</row>
    <row r="790" ht="13.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</row>
    <row r="791" ht="13.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</row>
    <row r="792" ht="13.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</row>
    <row r="793" ht="13.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</row>
    <row r="794" ht="13.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</row>
    <row r="795" ht="13.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</row>
    <row r="796" ht="13.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</row>
    <row r="797" ht="13.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</row>
    <row r="798" ht="13.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</row>
    <row r="799" ht="13.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</row>
    <row r="800" ht="13.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</row>
    <row r="801" ht="13.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</row>
    <row r="802" ht="13.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</row>
    <row r="803" ht="13.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</row>
    <row r="804" ht="13.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</row>
    <row r="805" ht="13.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</row>
    <row r="806" ht="13.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</row>
    <row r="807" ht="13.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</row>
    <row r="808" ht="13.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</row>
    <row r="809" ht="13.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</row>
    <row r="810" ht="13.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</row>
    <row r="811" ht="13.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</row>
    <row r="812" ht="13.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</row>
    <row r="813" ht="13.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</row>
    <row r="814" ht="13.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</row>
    <row r="815" ht="13.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</row>
    <row r="816" ht="13.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</row>
    <row r="817" ht="13.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</row>
    <row r="818" ht="13.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</row>
    <row r="819" ht="13.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</row>
    <row r="820" ht="13.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</row>
    <row r="821" ht="13.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</row>
    <row r="822" ht="13.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</row>
    <row r="823" ht="13.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</row>
    <row r="824" ht="13.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</row>
    <row r="825" ht="13.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</row>
    <row r="826" ht="13.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</row>
    <row r="827" ht="13.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</row>
    <row r="828" ht="13.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</row>
    <row r="829" ht="13.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</row>
    <row r="830" ht="13.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</row>
    <row r="831" ht="13.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</row>
    <row r="832" ht="13.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</row>
    <row r="833" ht="13.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</row>
    <row r="834" ht="13.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</row>
    <row r="835" ht="13.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</row>
    <row r="836" ht="13.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</row>
    <row r="837" ht="13.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</row>
    <row r="838" ht="13.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</row>
    <row r="839" ht="13.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</row>
    <row r="840" ht="13.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</row>
    <row r="841" ht="13.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</row>
    <row r="842" ht="13.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</row>
    <row r="843" ht="13.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</row>
    <row r="844" ht="13.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</row>
    <row r="845" ht="13.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</row>
    <row r="846" ht="13.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</row>
    <row r="847" ht="13.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</row>
    <row r="848" ht="13.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</row>
    <row r="849" ht="13.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</row>
    <row r="850" ht="13.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</row>
    <row r="851" ht="13.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</row>
    <row r="852" ht="13.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</row>
    <row r="853" ht="13.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</row>
    <row r="854" ht="13.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</row>
    <row r="855" ht="13.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</row>
    <row r="856" ht="13.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</row>
    <row r="857" ht="13.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</row>
    <row r="858" ht="13.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</row>
    <row r="859" ht="13.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</row>
    <row r="860" ht="13.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</row>
    <row r="861" ht="13.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</row>
    <row r="862" ht="13.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</row>
    <row r="863" ht="13.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</row>
    <row r="864" ht="13.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</row>
    <row r="865" ht="13.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</row>
    <row r="866" ht="13.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</row>
    <row r="867" ht="13.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</row>
    <row r="868" ht="13.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</row>
    <row r="869" ht="13.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</row>
    <row r="870" ht="13.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</row>
    <row r="871" ht="13.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</row>
    <row r="872" ht="13.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</row>
    <row r="873" ht="13.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</row>
    <row r="874" ht="13.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</row>
    <row r="875" ht="13.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</row>
    <row r="876" ht="13.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</row>
    <row r="877" ht="13.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</row>
    <row r="878" ht="13.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</row>
    <row r="879" ht="13.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</row>
    <row r="880" ht="13.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</row>
    <row r="881" ht="13.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</row>
    <row r="882" ht="13.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</row>
    <row r="883" ht="13.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</row>
    <row r="884" ht="13.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</row>
    <row r="885" ht="13.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</row>
    <row r="886" ht="13.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</row>
    <row r="887" ht="13.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</row>
    <row r="888" ht="13.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</row>
    <row r="889" ht="13.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</row>
    <row r="890" ht="13.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</row>
    <row r="891" ht="13.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</row>
    <row r="892" ht="13.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</row>
    <row r="893" ht="13.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</row>
    <row r="894" ht="13.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</row>
    <row r="895" ht="13.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</row>
    <row r="896" ht="13.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</row>
    <row r="897" ht="13.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</row>
    <row r="898" ht="13.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</row>
    <row r="899" ht="13.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</row>
    <row r="900" ht="13.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</row>
    <row r="901" ht="13.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</row>
    <row r="902" ht="13.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</row>
    <row r="903" ht="13.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</row>
    <row r="904" ht="13.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</row>
    <row r="905" ht="13.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</row>
    <row r="906" ht="13.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</row>
    <row r="907" ht="13.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</row>
    <row r="908" ht="13.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</row>
    <row r="909" ht="13.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</row>
    <row r="910" ht="13.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</row>
    <row r="911" ht="13.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</row>
    <row r="912" ht="13.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</row>
    <row r="913" ht="13.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</row>
    <row r="914" ht="13.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</row>
    <row r="915" ht="13.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</row>
    <row r="916" ht="13.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</row>
    <row r="917" ht="13.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</row>
    <row r="918" ht="13.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</row>
    <row r="919" ht="13.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</row>
    <row r="920" ht="13.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</row>
    <row r="921" ht="13.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</row>
    <row r="922" ht="13.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</row>
    <row r="923" ht="13.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</row>
    <row r="924" ht="13.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</row>
    <row r="925" ht="13.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</row>
    <row r="926" ht="13.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</row>
    <row r="927" ht="13.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</row>
    <row r="1001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</row>
    <row r="1002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</row>
    <row r="1003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</row>
    <row r="1004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</row>
    <row r="1005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</row>
    <row r="100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</row>
    <row r="1007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</row>
    <row r="1008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</row>
    <row r="1009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</row>
    <row r="1010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</row>
    <row r="1011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</row>
    <row r="1012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</row>
    <row r="1013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</row>
    <row r="1014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</row>
    <row r="1015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</row>
    <row r="101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</row>
    <row r="1017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</row>
    <row r="1018" ht="15.75" customHeight="1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</row>
    <row r="1019" ht="15.75" customHeight="1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</row>
    <row r="1020" ht="15.75" customHeight="1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</row>
    <row r="1021" ht="15.75" customHeight="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</row>
    <row r="1022" ht="15.75" customHeight="1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</row>
    <row r="1023" ht="15.75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</row>
    <row r="1024" ht="15.75" customHeight="1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</row>
    <row r="1025" ht="15.75" customHeight="1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</row>
    <row r="1026" ht="15.75" customHeight="1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</row>
    <row r="1027" ht="15.75" customHeight="1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</row>
    <row r="1028" ht="15.75" customHeight="1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</row>
    <row r="1029" ht="15.75" customHeight="1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</row>
    <row r="1030" ht="15.75" customHeight="1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</row>
    <row r="1031" ht="15.75" customHeight="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</row>
    <row r="1032" ht="15.75" customHeight="1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</row>
    <row r="1033" ht="15.75" customHeight="1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</row>
    <row r="1034" ht="15.75" customHeight="1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</row>
    <row r="1035" ht="15.75" customHeight="1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</row>
    <row r="1036" ht="15.75" customHeight="1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</row>
    <row r="1037" ht="15.75" customHeight="1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</row>
    <row r="1038" ht="15.75" customHeight="1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</row>
    <row r="1039" ht="15.75" customHeight="1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</row>
    <row r="1040" ht="15.75" customHeight="1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</row>
    <row r="1041" ht="15.75" customHeight="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</row>
    <row r="1042" ht="15.75" customHeight="1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</row>
    <row r="1043" ht="15.75" customHeight="1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</row>
    <row r="1044" ht="15.75" customHeight="1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</row>
    <row r="1045" ht="15.75" customHeight="1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</row>
    <row r="1046" ht="15.75" customHeight="1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</row>
    <row r="1047" ht="15.75" customHeight="1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</row>
    <row r="1048" ht="15.75" customHeight="1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</row>
    <row r="1049" ht="15.75" customHeight="1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</row>
    <row r="1050" ht="15.75" customHeight="1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</row>
    <row r="1051" ht="15.75" customHeight="1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</row>
    <row r="1052" ht="15.75" customHeight="1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</row>
    <row r="1053" ht="15.75" customHeight="1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</row>
    <row r="1054" ht="15.75" customHeight="1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</row>
    <row r="1055" ht="15.75" customHeight="1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</row>
    <row r="1056" ht="15.75" customHeight="1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</row>
    <row r="1057" ht="15.75" customHeight="1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</row>
    <row r="1058" ht="15.75" customHeight="1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</row>
    <row r="1059" ht="15.75" customHeight="1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</row>
    <row r="1060" ht="15.75" customHeight="1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</row>
    <row r="1061" ht="15.75" customHeight="1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</row>
    <row r="1062" ht="15.75" customHeight="1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</row>
    <row r="1063" ht="15.75" customHeight="1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</row>
    <row r="1064" ht="15.75" customHeight="1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</row>
    <row r="1065" ht="15.75" customHeight="1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</row>
    <row r="1066" ht="15.75" customHeight="1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</row>
    <row r="1067" ht="15.75" customHeight="1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</row>
    <row r="1068" ht="15.75" customHeight="1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</row>
    <row r="1069" ht="15.75" customHeight="1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</row>
    <row r="1070" ht="15.75" customHeight="1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</row>
    <row r="1071" ht="15.75" customHeight="1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</row>
    <row r="1072" ht="15.75" customHeight="1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</row>
    <row r="1073" ht="15.75" customHeight="1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</row>
    <row r="1074" ht="15.75" customHeight="1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</row>
    <row r="1075" ht="15.75" customHeight="1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</row>
    <row r="1076" ht="15.75" customHeight="1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</row>
    <row r="1077" ht="15.75" customHeight="1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</row>
    <row r="1078" ht="15.75" customHeight="1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</row>
    <row r="1079" ht="15.75" customHeight="1">
      <c r="A1079" s="31"/>
      <c r="B1079" s="31"/>
      <c r="C1079" s="31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</row>
    <row r="1080" ht="15.75" customHeight="1">
      <c r="A1080" s="31"/>
      <c r="B1080" s="31"/>
      <c r="C1080" s="31"/>
      <c r="D1080" s="31"/>
      <c r="E1080" s="31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</row>
    <row r="1081" ht="15.75" customHeight="1">
      <c r="A1081" s="31"/>
      <c r="B1081" s="31"/>
      <c r="C1081" s="31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</row>
    <row r="1082" ht="15.75" customHeight="1">
      <c r="A1082" s="31"/>
      <c r="B1082" s="31"/>
      <c r="C1082" s="31"/>
      <c r="D1082" s="31"/>
      <c r="E1082" s="31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</row>
    <row r="1083" ht="15.75" customHeight="1">
      <c r="A1083" s="31"/>
      <c r="B1083" s="31"/>
      <c r="C1083" s="31"/>
      <c r="D1083" s="31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</row>
    <row r="1084" ht="15.75" customHeight="1">
      <c r="A1084" s="31"/>
      <c r="B1084" s="31"/>
      <c r="C1084" s="31"/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</row>
    <row r="1085" ht="15.75" customHeight="1">
      <c r="A1085" s="31"/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</row>
  </sheetData>
  <mergeCells count="792">
    <mergeCell ref="A1:T1"/>
    <mergeCell ref="A2:T2"/>
    <mergeCell ref="A3:T3"/>
    <mergeCell ref="A4:T4"/>
    <mergeCell ref="A5:T5"/>
    <mergeCell ref="A6:T6"/>
    <mergeCell ref="A7:T7"/>
    <mergeCell ref="A8:T8"/>
    <mergeCell ref="A9:T9"/>
    <mergeCell ref="A10:T10"/>
    <mergeCell ref="A11:T11"/>
    <mergeCell ref="A12:E12"/>
    <mergeCell ref="F12:T12"/>
    <mergeCell ref="A13:E13"/>
    <mergeCell ref="F13:T13"/>
    <mergeCell ref="A14:T14"/>
    <mergeCell ref="A15:I15"/>
    <mergeCell ref="J15:T15"/>
    <mergeCell ref="A16:I16"/>
    <mergeCell ref="J16:T16"/>
    <mergeCell ref="A17:I17"/>
    <mergeCell ref="J17:T17"/>
    <mergeCell ref="A18:T18"/>
    <mergeCell ref="A19:T19"/>
    <mergeCell ref="A20:T20"/>
    <mergeCell ref="A21:T21"/>
    <mergeCell ref="A22:T22"/>
    <mergeCell ref="A23:G23"/>
    <mergeCell ref="H23:T23"/>
    <mergeCell ref="A24:G24"/>
    <mergeCell ref="H24:T24"/>
    <mergeCell ref="A25:G25"/>
    <mergeCell ref="H25:T25"/>
    <mergeCell ref="A26:T26"/>
    <mergeCell ref="A27:T27"/>
    <mergeCell ref="A28:T28"/>
    <mergeCell ref="A29:T29"/>
    <mergeCell ref="A30:T30"/>
    <mergeCell ref="A31:T31"/>
    <mergeCell ref="B32:T32"/>
    <mergeCell ref="B33:T33"/>
    <mergeCell ref="B34:T34"/>
    <mergeCell ref="B35:T35"/>
    <mergeCell ref="B36:T36"/>
    <mergeCell ref="B37:T37"/>
    <mergeCell ref="B38:T38"/>
    <mergeCell ref="B39:T39"/>
    <mergeCell ref="B40:T40"/>
    <mergeCell ref="B41:T41"/>
    <mergeCell ref="B42:T42"/>
    <mergeCell ref="B43:T43"/>
    <mergeCell ref="B44:T44"/>
    <mergeCell ref="B45:T45"/>
    <mergeCell ref="B46:T46"/>
    <mergeCell ref="B47:T47"/>
    <mergeCell ref="B48:T48"/>
    <mergeCell ref="B49:T49"/>
    <mergeCell ref="B50:T50"/>
    <mergeCell ref="B51:T51"/>
    <mergeCell ref="B52:T52"/>
    <mergeCell ref="B53:T53"/>
    <mergeCell ref="B54:T54"/>
    <mergeCell ref="B55:T55"/>
    <mergeCell ref="B56:T56"/>
    <mergeCell ref="B57:T57"/>
    <mergeCell ref="B58:T58"/>
    <mergeCell ref="B59:T59"/>
    <mergeCell ref="B60:T60"/>
    <mergeCell ref="B61:T61"/>
    <mergeCell ref="B62:T62"/>
    <mergeCell ref="B63:T63"/>
    <mergeCell ref="B64:T64"/>
    <mergeCell ref="B65:T65"/>
    <mergeCell ref="B66:T66"/>
    <mergeCell ref="B67:T67"/>
    <mergeCell ref="B68:T68"/>
    <mergeCell ref="B69:T69"/>
    <mergeCell ref="B70:T70"/>
    <mergeCell ref="B71:T71"/>
    <mergeCell ref="B72:T72"/>
    <mergeCell ref="B73:T73"/>
    <mergeCell ref="B74:T74"/>
    <mergeCell ref="B75:T75"/>
    <mergeCell ref="B76:T76"/>
    <mergeCell ref="B77:T77"/>
    <mergeCell ref="B78:T78"/>
    <mergeCell ref="B79:T79"/>
    <mergeCell ref="B80:T80"/>
    <mergeCell ref="B81:T81"/>
    <mergeCell ref="B82:T82"/>
    <mergeCell ref="A83:T83"/>
    <mergeCell ref="A84:A85"/>
    <mergeCell ref="E84:E85"/>
    <mergeCell ref="F84:N84"/>
    <mergeCell ref="O84:S84"/>
    <mergeCell ref="A86:T86"/>
    <mergeCell ref="A87:T87"/>
    <mergeCell ref="A88:T88"/>
    <mergeCell ref="A89:A90"/>
    <mergeCell ref="B89:B90"/>
    <mergeCell ref="E89:E90"/>
    <mergeCell ref="A91:A92"/>
    <mergeCell ref="B91:B92"/>
    <mergeCell ref="E91:E92"/>
    <mergeCell ref="A93:A94"/>
    <mergeCell ref="B93:B94"/>
    <mergeCell ref="E93:E94"/>
    <mergeCell ref="A95:A96"/>
    <mergeCell ref="B95:B96"/>
    <mergeCell ref="E95:E96"/>
    <mergeCell ref="A97:A98"/>
    <mergeCell ref="B97:B98"/>
    <mergeCell ref="E97:E98"/>
    <mergeCell ref="A99:A108"/>
    <mergeCell ref="B99:B108"/>
    <mergeCell ref="E99:E108"/>
    <mergeCell ref="A109:A110"/>
    <mergeCell ref="B109:B110"/>
    <mergeCell ref="E109:E110"/>
    <mergeCell ref="A111:A112"/>
    <mergeCell ref="B111:B112"/>
    <mergeCell ref="E111:E112"/>
    <mergeCell ref="A113:A114"/>
    <mergeCell ref="B113:B114"/>
    <mergeCell ref="E113:E114"/>
    <mergeCell ref="A115:T115"/>
    <mergeCell ref="A116:T116"/>
    <mergeCell ref="A117:T117"/>
    <mergeCell ref="A118:A119"/>
    <mergeCell ref="B118:B119"/>
    <mergeCell ref="E118:E119"/>
    <mergeCell ref="A120:T120"/>
    <mergeCell ref="A121:A122"/>
    <mergeCell ref="B121:B122"/>
    <mergeCell ref="E121:E122"/>
    <mergeCell ref="A123:T123"/>
    <mergeCell ref="A124:A125"/>
    <mergeCell ref="B124:B125"/>
    <mergeCell ref="E124:E125"/>
    <mergeCell ref="A126:T126"/>
    <mergeCell ref="A127:A128"/>
    <mergeCell ref="B127:B128"/>
    <mergeCell ref="E127:E128"/>
    <mergeCell ref="A129:T129"/>
    <mergeCell ref="A130:A131"/>
    <mergeCell ref="B130:B131"/>
    <mergeCell ref="E130:E131"/>
    <mergeCell ref="A132:T132"/>
    <mergeCell ref="A133:A134"/>
    <mergeCell ref="B133:B134"/>
    <mergeCell ref="E133:E134"/>
    <mergeCell ref="A135:T135"/>
    <mergeCell ref="A136:T136"/>
    <mergeCell ref="A137:T137"/>
    <mergeCell ref="A138:A142"/>
    <mergeCell ref="F138:T140"/>
    <mergeCell ref="F141:T142"/>
    <mergeCell ref="A143:A156"/>
    <mergeCell ref="B143:B144"/>
    <mergeCell ref="E143:E144"/>
    <mergeCell ref="B145:B146"/>
    <mergeCell ref="E145:E146"/>
    <mergeCell ref="B147:B148"/>
    <mergeCell ref="E147:E148"/>
    <mergeCell ref="B149:B150"/>
    <mergeCell ref="E149:E150"/>
    <mergeCell ref="B151:B152"/>
    <mergeCell ref="E151:E152"/>
    <mergeCell ref="B153:B154"/>
    <mergeCell ref="E153:E154"/>
    <mergeCell ref="B155:B156"/>
    <mergeCell ref="E155:E156"/>
    <mergeCell ref="A157:A158"/>
    <mergeCell ref="B157:B158"/>
    <mergeCell ref="E157:E158"/>
    <mergeCell ref="A159:A163"/>
    <mergeCell ref="F159:T161"/>
    <mergeCell ref="F162:T163"/>
    <mergeCell ref="A164:A167"/>
    <mergeCell ref="B164:B165"/>
    <mergeCell ref="E164:E165"/>
    <mergeCell ref="B166:B167"/>
    <mergeCell ref="E166:E167"/>
    <mergeCell ref="A168:T168"/>
    <mergeCell ref="A169:T169"/>
    <mergeCell ref="A170:A171"/>
    <mergeCell ref="B170:B171"/>
    <mergeCell ref="E170:E171"/>
    <mergeCell ref="A172:A173"/>
    <mergeCell ref="B172:B173"/>
    <mergeCell ref="E172:E173"/>
    <mergeCell ref="A174:A175"/>
    <mergeCell ref="B174:B175"/>
    <mergeCell ref="E174:E175"/>
    <mergeCell ref="A176:A185"/>
    <mergeCell ref="B176:B185"/>
    <mergeCell ref="E176:E185"/>
    <mergeCell ref="A186:A187"/>
    <mergeCell ref="B186:B187"/>
    <mergeCell ref="E186:E187"/>
    <mergeCell ref="A188:A189"/>
    <mergeCell ref="B188:B189"/>
    <mergeCell ref="E188:E189"/>
    <mergeCell ref="A190:A191"/>
    <mergeCell ref="B190:B191"/>
    <mergeCell ref="E190:E191"/>
    <mergeCell ref="A192:T192"/>
    <mergeCell ref="A193:A194"/>
    <mergeCell ref="B193:B194"/>
    <mergeCell ref="E193:E194"/>
    <mergeCell ref="A195:T195"/>
    <mergeCell ref="A196:A197"/>
    <mergeCell ref="B196:B197"/>
    <mergeCell ref="E196:E197"/>
    <mergeCell ref="A198:T198"/>
    <mergeCell ref="A199:T199"/>
    <mergeCell ref="A200:T200"/>
    <mergeCell ref="A201:A202"/>
    <mergeCell ref="B201:B202"/>
    <mergeCell ref="E201:E202"/>
    <mergeCell ref="A203:T203"/>
    <mergeCell ref="A204:A205"/>
    <mergeCell ref="B204:B205"/>
    <mergeCell ref="E204:E205"/>
    <mergeCell ref="A206:T206"/>
    <mergeCell ref="A207:A208"/>
    <mergeCell ref="B207:B208"/>
    <mergeCell ref="E207:E208"/>
    <mergeCell ref="A209:T209"/>
    <mergeCell ref="A210:A211"/>
    <mergeCell ref="B210:B211"/>
    <mergeCell ref="E210:E211"/>
    <mergeCell ref="A212:T212"/>
    <mergeCell ref="A213:A214"/>
    <mergeCell ref="B213:B214"/>
    <mergeCell ref="E213:E214"/>
    <mergeCell ref="A215:T215"/>
    <mergeCell ref="A216:A217"/>
    <mergeCell ref="B216:B217"/>
    <mergeCell ref="E216:E217"/>
    <mergeCell ref="A218:T218"/>
    <mergeCell ref="A219:T219"/>
    <mergeCell ref="A220:T220"/>
    <mergeCell ref="A221:A222"/>
    <mergeCell ref="B221:B222"/>
    <mergeCell ref="E221:E222"/>
    <mergeCell ref="A223:A227"/>
    <mergeCell ref="F223:T225"/>
    <mergeCell ref="F226:T227"/>
    <mergeCell ref="A228:A241"/>
    <mergeCell ref="B228:B229"/>
    <mergeCell ref="E228:E229"/>
    <mergeCell ref="B230:B231"/>
    <mergeCell ref="E230:E231"/>
    <mergeCell ref="B232:B233"/>
    <mergeCell ref="E232:E233"/>
    <mergeCell ref="B234:B235"/>
    <mergeCell ref="E234:E235"/>
    <mergeCell ref="B236:B237"/>
    <mergeCell ref="E236:E237"/>
    <mergeCell ref="B238:B239"/>
    <mergeCell ref="E238:E239"/>
    <mergeCell ref="B240:B241"/>
    <mergeCell ref="E240:E241"/>
    <mergeCell ref="A242:A243"/>
    <mergeCell ref="B242:B243"/>
    <mergeCell ref="E242:E243"/>
    <mergeCell ref="A244:A248"/>
    <mergeCell ref="F244:T246"/>
    <mergeCell ref="F247:T248"/>
    <mergeCell ref="A249:A252"/>
    <mergeCell ref="B249:B250"/>
    <mergeCell ref="E249:E250"/>
    <mergeCell ref="B251:B252"/>
    <mergeCell ref="E251:E252"/>
    <mergeCell ref="A253:T253"/>
    <mergeCell ref="A254:T254"/>
    <mergeCell ref="A255:T255"/>
    <mergeCell ref="A256:A257"/>
    <mergeCell ref="B256:B257"/>
    <mergeCell ref="E256:E257"/>
    <mergeCell ref="A258:A259"/>
    <mergeCell ref="B258:B259"/>
    <mergeCell ref="E258:E259"/>
    <mergeCell ref="A260:A269"/>
    <mergeCell ref="B260:B269"/>
    <mergeCell ref="E260:E269"/>
    <mergeCell ref="A270:A271"/>
    <mergeCell ref="B270:B271"/>
    <mergeCell ref="E270:E271"/>
    <mergeCell ref="A272:A273"/>
    <mergeCell ref="B272:B273"/>
    <mergeCell ref="E272:E273"/>
    <mergeCell ref="A274:A275"/>
    <mergeCell ref="B274:B275"/>
    <mergeCell ref="E274:E275"/>
    <mergeCell ref="A276:A277"/>
    <mergeCell ref="B276:B277"/>
    <mergeCell ref="E276:E277"/>
    <mergeCell ref="A278:T278"/>
    <mergeCell ref="A279:A280"/>
    <mergeCell ref="B279:B280"/>
    <mergeCell ref="E279:E280"/>
    <mergeCell ref="A281:A282"/>
    <mergeCell ref="B281:B282"/>
    <mergeCell ref="E281:E282"/>
    <mergeCell ref="A283:A284"/>
    <mergeCell ref="B283:B284"/>
    <mergeCell ref="E283:E284"/>
    <mergeCell ref="A285:T285"/>
    <mergeCell ref="A286:A287"/>
    <mergeCell ref="B286:B287"/>
    <mergeCell ref="E286:E287"/>
    <mergeCell ref="A288:A289"/>
    <mergeCell ref="B288:B289"/>
    <mergeCell ref="E288:E289"/>
    <mergeCell ref="A290:A291"/>
    <mergeCell ref="B290:B291"/>
    <mergeCell ref="E290:E291"/>
    <mergeCell ref="A292:T292"/>
    <mergeCell ref="A293:T293"/>
    <mergeCell ref="A294:T294"/>
    <mergeCell ref="A295:A296"/>
    <mergeCell ref="B295:B296"/>
    <mergeCell ref="E295:E296"/>
    <mergeCell ref="A297:T297"/>
    <mergeCell ref="A298:A299"/>
    <mergeCell ref="B298:B299"/>
    <mergeCell ref="E298:E299"/>
    <mergeCell ref="A300:T300"/>
    <mergeCell ref="A301:A302"/>
    <mergeCell ref="B301:B302"/>
    <mergeCell ref="E301:E302"/>
    <mergeCell ref="A303:T303"/>
    <mergeCell ref="A304:A305"/>
    <mergeCell ref="B304:B305"/>
    <mergeCell ref="E304:E305"/>
    <mergeCell ref="A306:T306"/>
    <mergeCell ref="A307:A308"/>
    <mergeCell ref="B307:B308"/>
    <mergeCell ref="E307:E308"/>
    <mergeCell ref="A309:T309"/>
    <mergeCell ref="A310:A311"/>
    <mergeCell ref="B310:B311"/>
    <mergeCell ref="E310:E311"/>
    <mergeCell ref="A312:T312"/>
    <mergeCell ref="A313:T313"/>
    <mergeCell ref="A314:T314"/>
    <mergeCell ref="A315:A319"/>
    <mergeCell ref="F315:T317"/>
    <mergeCell ref="F318:T319"/>
    <mergeCell ref="A320:A323"/>
    <mergeCell ref="B320:B321"/>
    <mergeCell ref="E320:E321"/>
    <mergeCell ref="B322:B323"/>
    <mergeCell ref="E322:E323"/>
    <mergeCell ref="A324:A328"/>
    <mergeCell ref="F324:T326"/>
    <mergeCell ref="F327:T328"/>
    <mergeCell ref="A329:A342"/>
    <mergeCell ref="B329:B330"/>
    <mergeCell ref="E329:E330"/>
    <mergeCell ref="B331:B332"/>
    <mergeCell ref="E331:E332"/>
    <mergeCell ref="B333:B334"/>
    <mergeCell ref="E333:E334"/>
    <mergeCell ref="B335:B336"/>
    <mergeCell ref="E335:E336"/>
    <mergeCell ref="B337:B338"/>
    <mergeCell ref="E337:E338"/>
    <mergeCell ref="B339:B340"/>
    <mergeCell ref="E339:E340"/>
    <mergeCell ref="B341:B342"/>
    <mergeCell ref="E341:E342"/>
    <mergeCell ref="A343:T343"/>
    <mergeCell ref="A344:T344"/>
    <mergeCell ref="A345:A346"/>
    <mergeCell ref="B345:B346"/>
    <mergeCell ref="E345:E346"/>
    <mergeCell ref="A347:A348"/>
    <mergeCell ref="B347:B348"/>
    <mergeCell ref="E347:E348"/>
    <mergeCell ref="A349:A350"/>
    <mergeCell ref="B349:B350"/>
    <mergeCell ref="E349:E350"/>
    <mergeCell ref="A351:A360"/>
    <mergeCell ref="B351:B360"/>
    <mergeCell ref="E351:E360"/>
    <mergeCell ref="A361:A362"/>
    <mergeCell ref="B361:B362"/>
    <mergeCell ref="E361:E362"/>
    <mergeCell ref="A363:A364"/>
    <mergeCell ref="B363:B364"/>
    <mergeCell ref="E363:E364"/>
    <mergeCell ref="A365:T365"/>
    <mergeCell ref="A366:A367"/>
    <mergeCell ref="B366:B367"/>
    <mergeCell ref="E366:E367"/>
    <mergeCell ref="A368:A369"/>
    <mergeCell ref="B368:B369"/>
    <mergeCell ref="E368:E369"/>
    <mergeCell ref="A370:A371"/>
    <mergeCell ref="B370:B371"/>
    <mergeCell ref="E370:E371"/>
    <mergeCell ref="A372:A373"/>
    <mergeCell ref="B372:B373"/>
    <mergeCell ref="E372:E373"/>
    <mergeCell ref="A374:T374"/>
    <mergeCell ref="A375:A376"/>
    <mergeCell ref="B375:B376"/>
    <mergeCell ref="E375:E376"/>
    <mergeCell ref="A377:A378"/>
    <mergeCell ref="B377:B378"/>
    <mergeCell ref="E377:E378"/>
    <mergeCell ref="A379:A380"/>
    <mergeCell ref="B379:B380"/>
    <mergeCell ref="E379:E380"/>
    <mergeCell ref="A381:T381"/>
    <mergeCell ref="A382:T382"/>
    <mergeCell ref="A383:T383"/>
    <mergeCell ref="A384:A385"/>
    <mergeCell ref="B384:B385"/>
    <mergeCell ref="E384:E385"/>
    <mergeCell ref="A386:T386"/>
    <mergeCell ref="A387:A388"/>
    <mergeCell ref="B387:B388"/>
    <mergeCell ref="E387:E388"/>
    <mergeCell ref="A389:T389"/>
    <mergeCell ref="A390:A391"/>
    <mergeCell ref="B390:B391"/>
    <mergeCell ref="E390:E391"/>
    <mergeCell ref="A392:T392"/>
    <mergeCell ref="A393:A394"/>
    <mergeCell ref="B393:B394"/>
    <mergeCell ref="E393:E394"/>
    <mergeCell ref="A395:T395"/>
    <mergeCell ref="A396:A397"/>
    <mergeCell ref="B396:B397"/>
    <mergeCell ref="E396:E397"/>
    <mergeCell ref="A398:T398"/>
    <mergeCell ref="A399:A400"/>
    <mergeCell ref="B399:B400"/>
    <mergeCell ref="E399:E400"/>
    <mergeCell ref="A401:T401"/>
    <mergeCell ref="A402:T402"/>
    <mergeCell ref="A403:T403"/>
    <mergeCell ref="A404:A408"/>
    <mergeCell ref="F404:T406"/>
    <mergeCell ref="F407:T408"/>
    <mergeCell ref="A409:A422"/>
    <mergeCell ref="B409:B410"/>
    <mergeCell ref="E409:E410"/>
    <mergeCell ref="B411:B412"/>
    <mergeCell ref="E411:E412"/>
    <mergeCell ref="B413:B414"/>
    <mergeCell ref="E413:E414"/>
    <mergeCell ref="B415:B416"/>
    <mergeCell ref="E415:E416"/>
    <mergeCell ref="B417:B418"/>
    <mergeCell ref="E417:E418"/>
    <mergeCell ref="B419:B420"/>
    <mergeCell ref="E419:E420"/>
    <mergeCell ref="B421:B422"/>
    <mergeCell ref="E421:E422"/>
    <mergeCell ref="A423:A424"/>
    <mergeCell ref="B423:B424"/>
    <mergeCell ref="E423:E424"/>
    <mergeCell ref="A425:A429"/>
    <mergeCell ref="F425:T427"/>
    <mergeCell ref="F428:T429"/>
    <mergeCell ref="A430:A433"/>
    <mergeCell ref="B430:B431"/>
    <mergeCell ref="E430:E431"/>
    <mergeCell ref="B432:B433"/>
    <mergeCell ref="E432:E433"/>
    <mergeCell ref="A434:T434"/>
    <mergeCell ref="A435:T435"/>
    <mergeCell ref="A436:T436"/>
    <mergeCell ref="A437:A438"/>
    <mergeCell ref="B437:B438"/>
    <mergeCell ref="E437:E438"/>
    <mergeCell ref="A439:A440"/>
    <mergeCell ref="B439:B440"/>
    <mergeCell ref="E439:E440"/>
    <mergeCell ref="A441:A442"/>
    <mergeCell ref="B441:B442"/>
    <mergeCell ref="E441:E442"/>
    <mergeCell ref="A443:A444"/>
    <mergeCell ref="B443:B444"/>
    <mergeCell ref="E443:E444"/>
    <mergeCell ref="A445:T445"/>
    <mergeCell ref="A446:A447"/>
    <mergeCell ref="B446:B447"/>
    <mergeCell ref="E446:E447"/>
    <mergeCell ref="A448:A449"/>
    <mergeCell ref="B448:B449"/>
    <mergeCell ref="E448:E449"/>
    <mergeCell ref="A450:A451"/>
    <mergeCell ref="B450:B451"/>
    <mergeCell ref="E450:E451"/>
    <mergeCell ref="A452:T452"/>
    <mergeCell ref="A453:A454"/>
    <mergeCell ref="B453:B454"/>
    <mergeCell ref="E453:E454"/>
    <mergeCell ref="A455:A456"/>
    <mergeCell ref="B455:B456"/>
    <mergeCell ref="E455:E456"/>
    <mergeCell ref="A457:A458"/>
    <mergeCell ref="B457:B458"/>
    <mergeCell ref="E457:E458"/>
    <mergeCell ref="A459:T459"/>
    <mergeCell ref="A460:T460"/>
    <mergeCell ref="A461:A468"/>
    <mergeCell ref="B461:B468"/>
    <mergeCell ref="E461:E468"/>
    <mergeCell ref="A469:T469"/>
    <mergeCell ref="A470:A475"/>
    <mergeCell ref="B470:B475"/>
    <mergeCell ref="E470:E475"/>
    <mergeCell ref="A476:T476"/>
    <mergeCell ref="A477:A481"/>
    <mergeCell ref="F477:T479"/>
    <mergeCell ref="F480:T481"/>
    <mergeCell ref="A482:A485"/>
    <mergeCell ref="B482:B483"/>
    <mergeCell ref="E482:E483"/>
    <mergeCell ref="B484:B485"/>
    <mergeCell ref="E484:E485"/>
    <mergeCell ref="A486:A490"/>
    <mergeCell ref="F486:T488"/>
    <mergeCell ref="F489:T490"/>
    <mergeCell ref="A491:A504"/>
    <mergeCell ref="B491:B492"/>
    <mergeCell ref="E491:E492"/>
    <mergeCell ref="B493:B494"/>
    <mergeCell ref="E493:E494"/>
    <mergeCell ref="B495:B496"/>
    <mergeCell ref="E495:E496"/>
    <mergeCell ref="B497:B498"/>
    <mergeCell ref="E497:E498"/>
    <mergeCell ref="B499:B500"/>
    <mergeCell ref="E499:E500"/>
    <mergeCell ref="B501:B502"/>
    <mergeCell ref="E501:E502"/>
    <mergeCell ref="B503:B504"/>
    <mergeCell ref="E503:E504"/>
    <mergeCell ref="A505:T505"/>
    <mergeCell ref="A506:T506"/>
    <mergeCell ref="A507:A508"/>
    <mergeCell ref="B507:B508"/>
    <mergeCell ref="E507:E508"/>
    <mergeCell ref="A509:A510"/>
    <mergeCell ref="B509:B510"/>
    <mergeCell ref="E509:E510"/>
    <mergeCell ref="A511:A512"/>
    <mergeCell ref="B511:B512"/>
    <mergeCell ref="E511:E512"/>
    <mergeCell ref="A513:A514"/>
    <mergeCell ref="B513:B514"/>
    <mergeCell ref="E513:E514"/>
    <mergeCell ref="A515:A516"/>
    <mergeCell ref="B515:B516"/>
    <mergeCell ref="E515:E516"/>
    <mergeCell ref="A517:A518"/>
    <mergeCell ref="B517:B518"/>
    <mergeCell ref="E517:E518"/>
    <mergeCell ref="A519:T519"/>
    <mergeCell ref="A520:A521"/>
    <mergeCell ref="B520:B521"/>
    <mergeCell ref="E520:E521"/>
    <mergeCell ref="A522:A523"/>
    <mergeCell ref="B522:B523"/>
    <mergeCell ref="E522:E523"/>
    <mergeCell ref="A524:A525"/>
    <mergeCell ref="B524:B525"/>
    <mergeCell ref="E524:E525"/>
    <mergeCell ref="A526:T526"/>
    <mergeCell ref="A527:A528"/>
    <mergeCell ref="B527:B528"/>
    <mergeCell ref="E527:E528"/>
    <mergeCell ref="A529:A530"/>
    <mergeCell ref="B529:B530"/>
    <mergeCell ref="E529:E530"/>
    <mergeCell ref="A531:A532"/>
    <mergeCell ref="B531:B532"/>
    <mergeCell ref="E531:E532"/>
    <mergeCell ref="A533:T533"/>
    <mergeCell ref="A534:T534"/>
    <mergeCell ref="A535:A540"/>
    <mergeCell ref="B535:B540"/>
    <mergeCell ref="E535:E540"/>
    <mergeCell ref="A541:T541"/>
    <mergeCell ref="A542:A547"/>
    <mergeCell ref="B542:B547"/>
    <mergeCell ref="E542:E547"/>
    <mergeCell ref="A548:T548"/>
    <mergeCell ref="A549:A553"/>
    <mergeCell ref="F549:T551"/>
    <mergeCell ref="F552:T553"/>
    <mergeCell ref="A554:A567"/>
    <mergeCell ref="B554:B555"/>
    <mergeCell ref="E554:E555"/>
    <mergeCell ref="B556:B557"/>
    <mergeCell ref="E556:E557"/>
    <mergeCell ref="B558:B559"/>
    <mergeCell ref="E558:E559"/>
    <mergeCell ref="B560:B561"/>
    <mergeCell ref="E560:E561"/>
    <mergeCell ref="B562:B563"/>
    <mergeCell ref="E562:E563"/>
    <mergeCell ref="B564:B565"/>
    <mergeCell ref="E564:E565"/>
    <mergeCell ref="B566:B567"/>
    <mergeCell ref="E566:E567"/>
    <mergeCell ref="A568:A572"/>
    <mergeCell ref="F568:T570"/>
    <mergeCell ref="F571:T572"/>
    <mergeCell ref="A573:A576"/>
    <mergeCell ref="B573:B574"/>
    <mergeCell ref="E573:E574"/>
    <mergeCell ref="B575:B576"/>
    <mergeCell ref="E575:E576"/>
    <mergeCell ref="A577:T577"/>
    <mergeCell ref="A578:T578"/>
    <mergeCell ref="A579:T579"/>
    <mergeCell ref="A580:A581"/>
    <mergeCell ref="B580:B581"/>
    <mergeCell ref="E580:E581"/>
    <mergeCell ref="A582:A583"/>
    <mergeCell ref="B582:B583"/>
    <mergeCell ref="E582:E583"/>
    <mergeCell ref="A584:A585"/>
    <mergeCell ref="B584:B585"/>
    <mergeCell ref="E584:E585"/>
    <mergeCell ref="A586:A587"/>
    <mergeCell ref="B586:B587"/>
    <mergeCell ref="E586:E587"/>
    <mergeCell ref="A588:T588"/>
    <mergeCell ref="A589:A590"/>
    <mergeCell ref="B589:B590"/>
    <mergeCell ref="E589:E590"/>
    <mergeCell ref="A591:A592"/>
    <mergeCell ref="B591:B592"/>
    <mergeCell ref="E591:E592"/>
    <mergeCell ref="A593:A594"/>
    <mergeCell ref="B593:B594"/>
    <mergeCell ref="E593:E594"/>
    <mergeCell ref="A595:T595"/>
    <mergeCell ref="A596:A597"/>
    <mergeCell ref="B596:B597"/>
    <mergeCell ref="E596:E597"/>
    <mergeCell ref="A598:A599"/>
    <mergeCell ref="B598:B599"/>
    <mergeCell ref="E598:E599"/>
    <mergeCell ref="A600:A601"/>
    <mergeCell ref="B600:B601"/>
    <mergeCell ref="E600:E601"/>
    <mergeCell ref="A602:T602"/>
    <mergeCell ref="A603:T603"/>
    <mergeCell ref="A604:A609"/>
    <mergeCell ref="B604:B609"/>
    <mergeCell ref="E604:E609"/>
    <mergeCell ref="A610:T610"/>
    <mergeCell ref="A611:A616"/>
    <mergeCell ref="B611:B616"/>
    <mergeCell ref="E611:E616"/>
    <mergeCell ref="A617:T617"/>
    <mergeCell ref="A618:A622"/>
    <mergeCell ref="F618:T620"/>
    <mergeCell ref="F621:T622"/>
    <mergeCell ref="A623:A636"/>
    <mergeCell ref="B623:B624"/>
    <mergeCell ref="E623:E624"/>
    <mergeCell ref="B625:B626"/>
    <mergeCell ref="E625:E626"/>
    <mergeCell ref="B627:B628"/>
    <mergeCell ref="E627:E628"/>
    <mergeCell ref="B629:B630"/>
    <mergeCell ref="E629:E630"/>
    <mergeCell ref="B631:B632"/>
    <mergeCell ref="E631:E632"/>
    <mergeCell ref="B633:B634"/>
    <mergeCell ref="E633:E634"/>
    <mergeCell ref="B635:B636"/>
    <mergeCell ref="E635:E636"/>
    <mergeCell ref="A637:A641"/>
    <mergeCell ref="F637:T639"/>
    <mergeCell ref="F640:T641"/>
    <mergeCell ref="A642:A645"/>
    <mergeCell ref="B642:B643"/>
    <mergeCell ref="E642:E643"/>
    <mergeCell ref="B644:B645"/>
    <mergeCell ref="E644:E645"/>
    <mergeCell ref="A646:T646"/>
    <mergeCell ref="A647:T647"/>
    <mergeCell ref="A648:A651"/>
    <mergeCell ref="B648:B651"/>
    <mergeCell ref="E648:E651"/>
    <mergeCell ref="A652:A653"/>
    <mergeCell ref="B652:B653"/>
    <mergeCell ref="E652:E653"/>
    <mergeCell ref="A654:A655"/>
    <mergeCell ref="B654:B655"/>
    <mergeCell ref="E654:E655"/>
    <mergeCell ref="A656:A657"/>
    <mergeCell ref="B656:B657"/>
    <mergeCell ref="E656:E657"/>
    <mergeCell ref="A658:T658"/>
    <mergeCell ref="A659:A660"/>
    <mergeCell ref="B659:B660"/>
    <mergeCell ref="E659:E660"/>
    <mergeCell ref="A661:T661"/>
    <mergeCell ref="A662:A663"/>
    <mergeCell ref="B662:B663"/>
    <mergeCell ref="E662:E663"/>
    <mergeCell ref="A664:T664"/>
    <mergeCell ref="A665:T665"/>
    <mergeCell ref="A666:A669"/>
    <mergeCell ref="B666:B669"/>
    <mergeCell ref="E666:E669"/>
    <mergeCell ref="A670:T670"/>
    <mergeCell ref="A671:A674"/>
    <mergeCell ref="B671:B674"/>
    <mergeCell ref="E671:E674"/>
    <mergeCell ref="A675:T675"/>
    <mergeCell ref="A676:A680"/>
    <mergeCell ref="F676:T678"/>
    <mergeCell ref="F679:T680"/>
    <mergeCell ref="A681:A684"/>
    <mergeCell ref="B681:B682"/>
    <mergeCell ref="E681:E682"/>
    <mergeCell ref="B683:B684"/>
    <mergeCell ref="E683:E684"/>
    <mergeCell ref="A685:A689"/>
    <mergeCell ref="F685:T687"/>
    <mergeCell ref="F688:T689"/>
    <mergeCell ref="A690:A703"/>
    <mergeCell ref="B690:B691"/>
    <mergeCell ref="E690:E691"/>
    <mergeCell ref="B692:B693"/>
    <mergeCell ref="E692:E693"/>
    <mergeCell ref="B694:B695"/>
    <mergeCell ref="E694:E695"/>
    <mergeCell ref="B696:B697"/>
    <mergeCell ref="E696:E697"/>
    <mergeCell ref="B698:B699"/>
    <mergeCell ref="E698:E699"/>
    <mergeCell ref="B700:B701"/>
    <mergeCell ref="E700:E701"/>
    <mergeCell ref="B702:B703"/>
    <mergeCell ref="E702:E703"/>
    <mergeCell ref="A706:T706"/>
    <mergeCell ref="A707:A708"/>
    <mergeCell ref="B707:B708"/>
    <mergeCell ref="C707:K708"/>
    <mergeCell ref="L707:T708"/>
    <mergeCell ref="A709:T709"/>
    <mergeCell ref="A710:T710"/>
    <mergeCell ref="A711:A712"/>
    <mergeCell ref="B711:B712"/>
    <mergeCell ref="C711:K711"/>
    <mergeCell ref="L711:T712"/>
    <mergeCell ref="C712:K712"/>
    <mergeCell ref="A713:T713"/>
    <mergeCell ref="A714:T714"/>
    <mergeCell ref="A719:T719"/>
    <mergeCell ref="A720:T720"/>
    <mergeCell ref="A721:H723"/>
    <mergeCell ref="I721:T721"/>
    <mergeCell ref="I722:N722"/>
    <mergeCell ref="O722:T723"/>
    <mergeCell ref="I723:K723"/>
    <mergeCell ref="L723:N723"/>
    <mergeCell ref="A724:C724"/>
    <mergeCell ref="D724:H724"/>
    <mergeCell ref="I724:K724"/>
    <mergeCell ref="L724:N724"/>
    <mergeCell ref="O724:T724"/>
    <mergeCell ref="A725:C725"/>
    <mergeCell ref="D725:H725"/>
    <mergeCell ref="I725:K725"/>
    <mergeCell ref="L725:N725"/>
    <mergeCell ref="O725:T725"/>
    <mergeCell ref="A726:C726"/>
    <mergeCell ref="D726:H726"/>
    <mergeCell ref="I726:K726"/>
    <mergeCell ref="L726:N726"/>
    <mergeCell ref="O726:T726"/>
    <mergeCell ref="A727:H727"/>
    <mergeCell ref="I727:K727"/>
    <mergeCell ref="L727:N727"/>
    <mergeCell ref="O727:T727"/>
  </mergeCells>
  <printOptions headings="0" gridLines="0"/>
  <pageMargins left="0.69999999999999996" right="0.69999999999999996" top="0.75" bottom="0.75" header="0" footer="0"/>
  <pageSetup paperSize="9" scale="10" fitToWidth="0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UserguN</dc:creator>
  <cp:lastModifiedBy>Иван Блеканов</cp:lastModifiedBy>
  <cp:revision>2</cp:revision>
  <dcterms:created xsi:type="dcterms:W3CDTF">2026-07-22T10:06:48Z</dcterms:created>
  <dcterms:modified xsi:type="dcterms:W3CDTF">2026-09-21T16:22:45Z</dcterms:modified>
</cp:coreProperties>
</file>